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an\Downloads\"/>
    </mc:Choice>
  </mc:AlternateContent>
  <xr:revisionPtr revIDLastSave="0" documentId="13_ncr:1_{09F7EDA2-D6C7-4360-A7F8-0810C50BC481}" xr6:coauthVersionLast="47" xr6:coauthVersionMax="47" xr10:uidLastSave="{00000000-0000-0000-0000-000000000000}"/>
  <bookViews>
    <workbookView xWindow="-108" yWindow="-108" windowWidth="23256" windowHeight="12456" xr2:uid="{7CAAB7AE-A369-4955-B9DE-C208F5C91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Q6" i="1"/>
  <c r="R5" i="1"/>
  <c r="P5" i="1" s="1"/>
  <c r="Q5" i="1"/>
  <c r="R4" i="1"/>
  <c r="P4" i="1" s="1"/>
  <c r="Q4" i="1"/>
  <c r="R3" i="1"/>
  <c r="Q3" i="1"/>
  <c r="R2" i="1"/>
  <c r="P2" i="1" s="1"/>
  <c r="Q2" i="1"/>
  <c r="P3" i="1" l="1"/>
  <c r="P6" i="1"/>
</calcChain>
</file>

<file path=xl/sharedStrings.xml><?xml version="1.0" encoding="utf-8"?>
<sst xmlns="http://schemas.openxmlformats.org/spreadsheetml/2006/main" count="58" uniqueCount="41">
  <si>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</si>
  <si>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</si>
  <si>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</si>
  <si>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</si>
  <si>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</si>
  <si>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</si>
  <si>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</si>
  <si>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</si>
  <si>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</si>
  <si>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</si>
  <si>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</si>
  <si>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</si>
  <si>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</si>
  <si>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</si>
  <si>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</si>
  <si>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</si>
  <si>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</si>
  <si>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</si>
  <si>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February</t>
  </si>
  <si>
    <t>Young Adults (25-34)</t>
  </si>
  <si>
    <t>F</t>
  </si>
  <si>
    <t>United States</t>
  </si>
  <si>
    <t>California</t>
  </si>
  <si>
    <t>Bikes</t>
  </si>
  <si>
    <t>Mountain Bikes</t>
  </si>
  <si>
    <t>Mountain-200 Silver, 42</t>
  </si>
  <si>
    <t>March</t>
  </si>
  <si>
    <t>Adults (35-64)</t>
  </si>
  <si>
    <t>M</t>
  </si>
  <si>
    <t>United Kingdom</t>
  </si>
  <si>
    <t>England</t>
  </si>
  <si>
    <t>April</t>
  </si>
  <si>
    <t>Australia</t>
  </si>
  <si>
    <t>Victoria</t>
  </si>
  <si>
    <t>Road Bikes</t>
  </si>
  <si>
    <t>Road-750 Black, 48</t>
  </si>
  <si>
    <t>May</t>
  </si>
  <si>
    <t>South Australia</t>
  </si>
  <si>
    <t>Road-550-W Yellow, 44</t>
  </si>
  <si>
    <t>June</t>
  </si>
  <si>
    <t>Mountain-200 Black,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</si>
</sst>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9D6A-D5C1-4F76-BD5B-3E6C87C1BCED}">
  <dimension ref="A1:R6"/>
  <sheetViews>
    <sheetView tabSelected="1" topLeftCell="B1" workbookViewId="0"/>
  </sheetViews>
  <sheetFormatPr defaultRowHeight="14.4" x14ac:dyDescent="0.3"/>
  <cols>
    <col min="1" max="1" width="12.77734375" customWidth="1"/>
    <col min="2" max="2" width="4.109375" bestFit="1" customWidth="1"/>
    <col min="3" max="3" width="8.109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3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5" width="10.109375" bestFit="1" customWidth="1"/>
    <col min="16" max="18" width="1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44595</v>
      </c>
      <c r="B2">
        <v>27</v>
      </c>
      <c r="C2" t="s">
        <v>18</v>
      </c>
      <c r="D2">
        <v>2022</v>
      </c>
      <c r="E2">
        <v>29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18</v>
      </c>
      <c r="N2" s="2">
        <v>1266</v>
      </c>
      <c r="O2" s="2">
        <v>2320</v>
      </c>
      <c r="P2" s="2">
        <f>R2-Q2</f>
        <v>18972</v>
      </c>
      <c r="Q2" s="2">
        <f>M2*N2</f>
        <v>22788</v>
      </c>
      <c r="R2" s="2">
        <f>M2*O2</f>
        <v>41760</v>
      </c>
    </row>
    <row r="3" spans="1:18" x14ac:dyDescent="0.3">
      <c r="A3" s="1">
        <v>44623</v>
      </c>
      <c r="B3">
        <v>31</v>
      </c>
      <c r="C3" t="s">
        <v>26</v>
      </c>
      <c r="D3">
        <v>2022</v>
      </c>
      <c r="E3">
        <v>38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>
        <v>16</v>
      </c>
      <c r="N3" s="2">
        <v>1266</v>
      </c>
      <c r="O3" s="2">
        <v>2320</v>
      </c>
      <c r="P3" s="2">
        <f>R3-Q3</f>
        <v>16864</v>
      </c>
      <c r="Q3" s="2">
        <f>M3*N3</f>
        <v>20256</v>
      </c>
      <c r="R3" s="2">
        <f>M3*O3</f>
        <v>37120</v>
      </c>
    </row>
    <row r="4" spans="1:18" x14ac:dyDescent="0.3">
      <c r="A4" s="1">
        <v>44654</v>
      </c>
      <c r="B4">
        <v>30</v>
      </c>
      <c r="C4" t="s">
        <v>31</v>
      </c>
      <c r="D4">
        <v>2022</v>
      </c>
      <c r="E4">
        <v>42</v>
      </c>
      <c r="F4" t="s">
        <v>27</v>
      </c>
      <c r="G4" t="s">
        <v>20</v>
      </c>
      <c r="H4" t="s">
        <v>32</v>
      </c>
      <c r="I4" t="s">
        <v>33</v>
      </c>
      <c r="J4" t="s">
        <v>23</v>
      </c>
      <c r="K4" t="s">
        <v>34</v>
      </c>
      <c r="L4" t="s">
        <v>35</v>
      </c>
      <c r="M4">
        <v>11</v>
      </c>
      <c r="N4" s="2">
        <v>344</v>
      </c>
      <c r="O4" s="2">
        <v>540</v>
      </c>
      <c r="P4" s="2">
        <f>R4-Q4</f>
        <v>2156</v>
      </c>
      <c r="Q4" s="2">
        <f>M4*N4</f>
        <v>3784</v>
      </c>
      <c r="R4" s="2">
        <f>M4*O4</f>
        <v>5940</v>
      </c>
    </row>
    <row r="5" spans="1:18" x14ac:dyDescent="0.3">
      <c r="A5" s="1">
        <v>44684</v>
      </c>
      <c r="B5">
        <v>31</v>
      </c>
      <c r="C5" t="s">
        <v>36</v>
      </c>
      <c r="D5">
        <v>2022</v>
      </c>
      <c r="E5">
        <v>47</v>
      </c>
      <c r="F5" t="s">
        <v>27</v>
      </c>
      <c r="G5" t="s">
        <v>28</v>
      </c>
      <c r="H5" t="s">
        <v>32</v>
      </c>
      <c r="I5" t="s">
        <v>37</v>
      </c>
      <c r="J5" t="s">
        <v>23</v>
      </c>
      <c r="K5" t="s">
        <v>34</v>
      </c>
      <c r="L5" t="s">
        <v>38</v>
      </c>
      <c r="M5">
        <v>17</v>
      </c>
      <c r="N5" s="2">
        <v>713</v>
      </c>
      <c r="O5" s="2">
        <v>1120</v>
      </c>
      <c r="P5" s="2">
        <f>R5-Q5</f>
        <v>6919</v>
      </c>
      <c r="Q5" s="2">
        <f>M5*N5</f>
        <v>12121</v>
      </c>
      <c r="R5" s="2">
        <f>M5*O5</f>
        <v>19040</v>
      </c>
    </row>
    <row r="6" spans="1:18" x14ac:dyDescent="0.3">
      <c r="A6" s="1">
        <v>44716</v>
      </c>
      <c r="B6">
        <v>30</v>
      </c>
      <c r="C6" t="s">
        <v>39</v>
      </c>
      <c r="D6">
        <v>2022</v>
      </c>
      <c r="E6">
        <v>28</v>
      </c>
      <c r="F6" t="s">
        <v>19</v>
      </c>
      <c r="G6" t="s">
        <v>28</v>
      </c>
      <c r="H6" t="s">
        <v>29</v>
      </c>
      <c r="I6" t="s">
        <v>30</v>
      </c>
      <c r="J6" t="s">
        <v>23</v>
      </c>
      <c r="K6" t="s">
        <v>24</v>
      </c>
      <c r="L6" t="s">
        <v>40</v>
      </c>
      <c r="M6">
        <v>36</v>
      </c>
      <c r="N6" s="2">
        <v>1252</v>
      </c>
      <c r="O6" s="2">
        <v>2295</v>
      </c>
      <c r="P6" s="2">
        <f>R6-Q6</f>
        <v>37548</v>
      </c>
      <c r="Q6" s="2">
        <f>M6*N6</f>
        <v>45072</v>
      </c>
      <c r="R6" s="2">
        <f>M6*O6</f>
        <v>82620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D3CD2-73FC-4FED-93B7-ACF88E11F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C691E-A697-446B-9F2E-CBB2E537F9CD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D15070F1-7718-4B2C-95EA-0C6B01345E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ladan</cp:lastModifiedBy>
  <dcterms:created xsi:type="dcterms:W3CDTF">2022-12-08T03:30:08Z</dcterms:created>
  <dcterms:modified xsi:type="dcterms:W3CDTF">2025-10-14T10:34:42Z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