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310fd4d338502d/Documents/"/>
    </mc:Choice>
  </mc:AlternateContent>
  <xr:revisionPtr revIDLastSave="30" documentId="8_{00FEFAE0-DE00-419C-BA87-533F9603AF42}" xr6:coauthVersionLast="47" xr6:coauthVersionMax="47" xr10:uidLastSave="{85F94183-5F75-45EB-AA92-27BF8D8FAA59}"/>
  <bookViews>
    <workbookView xWindow="-108" yWindow="-108" windowWidth="23256" windowHeight="12456" xr2:uid="{00000000-000D-0000-FFFF-FFFF00000000}"/>
  </bookViews>
  <sheets>
    <sheet name="Sheet1" sheetId="2" r:id="rId1"/>
    <sheet name="Bike Sales" sheetId="1" r:id="rId2"/>
  </sheets>
  <calcPr calcId="191028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<sst xmlns="http://schemas.openxmlformats.org/spreadsheetml/2006/main" count="816" uniqueCount="159">
  <si>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</si>
  <si>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</si>
  <si>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</si>
  <si>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</si>
  <si>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</si>
  <si>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</si>
  <si>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</si>
  <si>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</si>
  <si>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</si>
  <si>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</si>
  <si>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</si>
  <si>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</si>
  <si>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</si>
  <si>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</si>
  <si>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</si>
  <si>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</si>
  <si>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</si>
  <si>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</si>
  <si>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</si>
  <si>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</si>
  <si>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</si>
  <si>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</si>
  <si>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</si>
  <si>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</si>
  <si>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</si>
  <si>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</si>
  <si>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</si>
  <si>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</si>
  <si>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</si>
  <si>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</si>
  <si>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</si>
  <si>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</si>
  <si>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</si>
  <si>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</si>
  <si>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</si>
  <si>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</si>
  <si>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</si>
  <si>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</si>
  <si>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</si>
  <si>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</si>
  <si>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</si>
  <si>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</si>
  <si>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</si>
  <si>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</si>
  <si>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</si>
  <si>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</si>
  <si>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</si>
  <si>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</si>
  <si>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</si>
  <si>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</si>
  <si>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</si>
  <si>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</si>
  <si>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</si>
  <si>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</si>
  <si>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</si>
  <si>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</si>
  <si>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</si>
  <si>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</si>
  <si>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</si>
  <si>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</si>
  <si>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</si>
  <si>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</si>
  <si>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</si>
  <si>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</si>
  <si>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</si>
  <si>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</si>
  <si>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</si>
  <si>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</si>
  <si>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</si>
  <si>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</si>
  <si>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</si>
  <si>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</si>
  <si>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</si>
  <si>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</si>
  <si>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</si>
  <si>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</si>
  <si>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</si>
  <si>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</si>
  <si>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</si>
  <si>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</si>
  <si>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</si>
  <si>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</si>
  <si>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</si>
  <si>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</si>
  <si>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</si>
  <si>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</si>
  <si>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</si>
  <si>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</si>
  <si>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</si>
  <si>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</si>
  <si>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</si>
  <si>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</si>
  <si>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</si>
  <si>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</si>
  <si>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</si>
  <si>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</si>
  <si>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</si>
  <si>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</si>
  <si>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</si>
  <si>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</si>
  <si>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</si>
  <si>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</si>
  <si>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</si>
  <si>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</si>
  <si>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</si>
  <si>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</si>
  <si>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</si>
  <si>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</si>
  <si>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</si>
  <si>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</si>
  <si>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</si>
  <si>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</si>
  <si>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</si>
  <si>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</si>
  <si>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</si>
  <si>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</si>
  <si>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</si>
  <si>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</si>
  <si>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</si>
  <si>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</si>
  <si>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</si>
  <si>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</si>
  <si>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</si>
  <si>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</si>
  <si>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</si>
  <si>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</si>
  <si>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</si>
  <si>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</si>
  <si>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</si>
  <si>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</si>
  <si>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</si>
  <si>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</si>
  <si>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</si>
  <si>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</si>
  <si>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</si>
  <si>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</si>
  <si>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</si>
  <si>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</si>
  <si>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</si>
  <si>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</si>
  <si>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</si>
  <si>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</si>
  <si>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</si>
  <si>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</si>
  <si>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</si>
  <si>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</si>
  <si>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</si>
  <si>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</si>
  <si>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</si>
  <si>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</si>
  <si>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</si>
  <si>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</si>
  <si>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</si>
  <si>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</si>
  <si>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</si>
  <si>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</si>
  <si>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Row Labels</t>
  </si>
  <si>
    <t>Grand Total</t>
  </si>
  <si>
    <t>Sum of Order_Quantity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</si>
</sst>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Sheet1!$D$4:$D$27</c:f>
              <c:numCache>
                <c:formatCode>m/d/yyyy</c:formatCode>
                <c:ptCount val="24"/>
                <c:pt idx="0">
                  <c:v>44554</c:v>
                </c:pt>
                <c:pt idx="1">
                  <c:v>44553</c:v>
                </c:pt>
                <c:pt idx="2">
                  <c:v>44552</c:v>
                </c:pt>
                <c:pt idx="3">
                  <c:v>44551</c:v>
                </c:pt>
                <c:pt idx="4">
                  <c:v>44550</c:v>
                </c:pt>
                <c:pt idx="5">
                  <c:v>44549</c:v>
                </c:pt>
                <c:pt idx="6">
                  <c:v>44548</c:v>
                </c:pt>
                <c:pt idx="7">
                  <c:v>44547</c:v>
                </c:pt>
                <c:pt idx="8">
                  <c:v>44546</c:v>
                </c:pt>
                <c:pt idx="9">
                  <c:v>44545</c:v>
                </c:pt>
                <c:pt idx="10">
                  <c:v>44544</c:v>
                </c:pt>
                <c:pt idx="11">
                  <c:v>44543</c:v>
                </c:pt>
                <c:pt idx="12">
                  <c:v>44542</c:v>
                </c:pt>
                <c:pt idx="13">
                  <c:v>44541</c:v>
                </c:pt>
                <c:pt idx="14">
                  <c:v>44540</c:v>
                </c:pt>
                <c:pt idx="15">
                  <c:v>44539</c:v>
                </c:pt>
                <c:pt idx="16">
                  <c:v>44538</c:v>
                </c:pt>
                <c:pt idx="17">
                  <c:v>44537</c:v>
                </c:pt>
                <c:pt idx="18">
                  <c:v>44536</c:v>
                </c:pt>
                <c:pt idx="19">
                  <c:v>44535</c:v>
                </c:pt>
                <c:pt idx="20">
                  <c:v>44534</c:v>
                </c:pt>
                <c:pt idx="21">
                  <c:v>44533</c:v>
                </c:pt>
                <c:pt idx="22">
                  <c:v>44532</c:v>
                </c:pt>
                <c:pt idx="23">
                  <c:v>44531</c:v>
                </c:pt>
              </c:numCache>
            </c:numRef>
          </c:xVal>
          <c:yVal>
            <c:numRef>
              <c:f>Sheet1!$E$4:$E$27</c:f>
              <c:numCache>
                <c:formatCode>General</c:formatCode>
                <c:ptCount val="24"/>
                <c:pt idx="0">
                  <c:v>4</c:v>
                </c:pt>
                <c:pt idx="1">
                  <c:v>3</c:v>
                </c:pt>
                <c:pt idx="2">
                  <c:v>10</c:v>
                </c:pt>
                <c:pt idx="3">
                  <c:v>5</c:v>
                </c:pt>
                <c:pt idx="4">
                  <c:v>13</c:v>
                </c:pt>
                <c:pt idx="5">
                  <c:v>43</c:v>
                </c:pt>
                <c:pt idx="6">
                  <c:v>19</c:v>
                </c:pt>
                <c:pt idx="7">
                  <c:v>4</c:v>
                </c:pt>
                <c:pt idx="8">
                  <c:v>5</c:v>
                </c:pt>
                <c:pt idx="9">
                  <c:v>1</c:v>
                </c:pt>
                <c:pt idx="10">
                  <c:v>4</c:v>
                </c:pt>
                <c:pt idx="11">
                  <c:v>6</c:v>
                </c:pt>
                <c:pt idx="12">
                  <c:v>12</c:v>
                </c:pt>
                <c:pt idx="13">
                  <c:v>8</c:v>
                </c:pt>
                <c:pt idx="14">
                  <c:v>8</c:v>
                </c:pt>
                <c:pt idx="15">
                  <c:v>3</c:v>
                </c:pt>
                <c:pt idx="16">
                  <c:v>11</c:v>
                </c:pt>
                <c:pt idx="17">
                  <c:v>6</c:v>
                </c:pt>
                <c:pt idx="18">
                  <c:v>6</c:v>
                </c:pt>
                <c:pt idx="19">
                  <c:v>10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C6-4C4E-A732-DA72A5BD2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16400"/>
        <c:axId val="200222160"/>
      </c:scatterChart>
      <c:valAx>
        <c:axId val="20021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0222160"/>
        <c:crosses val="autoZero"/>
        <c:crossBetween val="midCat"/>
      </c:valAx>
      <c:valAx>
        <c:axId val="2002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021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2</xdr:row>
      <xdr:rowOff>148590</xdr:rowOff>
    </xdr:from>
    <xdr:to>
      <xdr:col>17</xdr:col>
      <xdr:colOff>594360</xdr:colOff>
      <xdr:row>17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FB28CA-B702-D429-47BF-E9D8FCB21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dan" refreshedDate="45956.875544097224" createdVersion="8" refreshedVersion="8" minRefreshableVersion="3" recordCount="88" xr:uid="{7CDDC324-CF85-4826-9A2F-0A9604953663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 count="24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</sharedItems>
    </cacheField>
    <cacheField name="Day" numFmtId="0">
      <sharedItems containsSemiMixedTypes="0" containsString="0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/>
    </cacheField>
    <cacheField name="Customer_Gender" numFmtId="0">
      <sharedItems/>
    </cacheField>
    <cacheField name="Country" numFmtId="0">
      <sharedItems/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11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13926"/>
    </cacheField>
    <cacheField name="Revenue" numFmtId="164">
      <sharedItems containsSemiMixedTypes="0" containsString="0" containsNumber="1" containsInteger="1" minValue="540" maxValue="255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x v="0"/>
    <n v="1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695"/>
    <x v="0"/>
    <n v="1"/>
    <s v="December"/>
    <n v="2021"/>
    <n v="44"/>
    <s v="Adults (35-64)"/>
    <s v="M"/>
    <s v="United Kingdom"/>
    <s v="England"/>
    <s v="Bikes"/>
    <s v="Mountain Bikes"/>
    <s v="Mountain-200 Silver, 42"/>
    <n v="1"/>
    <n v="1266"/>
    <n v="2320"/>
    <n v="1054"/>
    <n v="1266"/>
    <n v="2320"/>
  </r>
  <r>
    <s v="000261697"/>
    <x v="1"/>
    <n v="2"/>
    <s v="December"/>
    <n v="2021"/>
    <n v="37"/>
    <s v="Adults (35-64)"/>
    <s v="M"/>
    <s v="United States"/>
    <s v="California"/>
    <s v="Bikes"/>
    <s v="Mountain Bikes"/>
    <s v="Mountain-400-W Silver, 46"/>
    <n v="2"/>
    <n v="420"/>
    <n v="769"/>
    <n v="698"/>
    <n v="840"/>
    <n v="1538"/>
  </r>
  <r>
    <s v="000261698"/>
    <x v="1"/>
    <n v="2"/>
    <s v="December"/>
    <n v="2021"/>
    <n v="31"/>
    <s v="Young Adults (25-34)"/>
    <s v="F"/>
    <s v="Australia"/>
    <s v="New South Wales"/>
    <s v="Bikes"/>
    <s v="Mountain Bikes"/>
    <s v="Mountain-400-W Silver, 42"/>
    <n v="1"/>
    <n v="420"/>
    <n v="769"/>
    <n v="349"/>
    <n v="420"/>
    <n v="769"/>
  </r>
  <r>
    <s v="000261699"/>
    <x v="2"/>
    <n v="3"/>
    <s v="December"/>
    <n v="2021"/>
    <n v="37"/>
    <s v="Adults (35-64)"/>
    <s v="F"/>
    <s v="United States"/>
    <s v="California"/>
    <s v="Bikes"/>
    <s v="Mountain Bikes"/>
    <s v="Mountain-200 Black, 46"/>
    <n v="2"/>
    <n v="1252"/>
    <n v="2295"/>
    <n v="2086"/>
    <n v="2504"/>
    <n v="4590"/>
  </r>
  <r>
    <s v="000261700"/>
    <x v="2"/>
    <n v="3"/>
    <s v="December"/>
    <n v="2021"/>
    <n v="24"/>
    <s v="Youth (&lt;25)"/>
    <s v="F"/>
    <s v="United Kingdom"/>
    <s v="England"/>
    <s v="Bikes"/>
    <s v="Mountain Bikes"/>
    <s v="Mountain-200 Black, 38"/>
    <n v="1"/>
    <n v="1252"/>
    <n v="2295"/>
    <n v="1043"/>
    <n v="1252"/>
    <n v="2295"/>
  </r>
  <r>
    <s v="000261701"/>
    <x v="2"/>
    <n v="3"/>
    <s v="December"/>
    <n v="2021"/>
    <n v="37"/>
    <s v="Adults (35-64)"/>
    <s v="M"/>
    <s v="United States"/>
    <s v="Washington"/>
    <s v="Bikes"/>
    <s v="Mountain Bikes"/>
    <s v="Mountain-200 Black, 46"/>
    <n v="1"/>
    <n v="1252"/>
    <n v="2295"/>
    <n v="1043"/>
    <n v="1252"/>
    <n v="2295"/>
  </r>
  <r>
    <s v="000261702"/>
    <x v="3"/>
    <n v="4"/>
    <s v="December"/>
    <n v="2021"/>
    <n v="31"/>
    <s v="Young Adults (25-34)"/>
    <s v="F"/>
    <s v="Australia"/>
    <s v="New South Wales"/>
    <s v="Bikes"/>
    <s v="Mountain Bikes"/>
    <s v="Mountain-400-W Silver, 42"/>
    <n v="4"/>
    <n v="420"/>
    <n v="769"/>
    <n v="1396"/>
    <n v="1680"/>
    <n v="3076"/>
  </r>
  <r>
    <s v="000261703"/>
    <x v="4"/>
    <n v="5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704"/>
    <x v="4"/>
    <n v="5"/>
    <s v="December"/>
    <n v="2021"/>
    <n v="42"/>
    <s v="Adults (35-64)"/>
    <s v="M"/>
    <s v="Germany"/>
    <s v="Nordrhein-Westfalen"/>
    <s v="Bikes"/>
    <s v="Mountain Bikes"/>
    <s v="Mountain-200 Black, 38"/>
    <n v="4"/>
    <n v="1252"/>
    <n v="2295"/>
    <n v="4172"/>
    <n v="5008"/>
    <n v="9180"/>
  </r>
  <r>
    <s v="000261705"/>
    <x v="4"/>
    <n v="5"/>
    <s v="December"/>
    <n v="2021"/>
    <n v="35"/>
    <s v="Adults (35-64)"/>
    <s v="F"/>
    <s v="Australia"/>
    <s v="Queensland"/>
    <s v="Bikes"/>
    <s v="Mountain Bikes"/>
    <s v="Mountain-200 Silver, 38"/>
    <n v="1"/>
    <n v="1266"/>
    <n v="2320"/>
    <n v="1054"/>
    <n v="1266"/>
    <n v="2320"/>
  </r>
  <r>
    <s v="000261706"/>
    <x v="4"/>
    <n v="5"/>
    <s v="December"/>
    <n v="2021"/>
    <n v="37"/>
    <s v="Adults (35-64)"/>
    <s v="F"/>
    <s v="United States"/>
    <s v="California"/>
    <s v="Bikes"/>
    <s v="Mountain Bikes"/>
    <s v="Mountain-200 Black, 46"/>
    <n v="1"/>
    <n v="1252"/>
    <n v="2295"/>
    <n v="1043"/>
    <n v="1252"/>
    <n v="2295"/>
  </r>
  <r>
    <s v="000261707"/>
    <x v="5"/>
    <n v="6"/>
    <s v="December"/>
    <n v="2021"/>
    <n v="23"/>
    <s v="Youth (&lt;25)"/>
    <s v="M"/>
    <s v="United Kingdom"/>
    <s v="England"/>
    <s v="Bikes"/>
    <s v="Mountain Bikes"/>
    <s v="Mountain-400-W Silver, 46"/>
    <n v="3"/>
    <n v="420"/>
    <n v="769"/>
    <n v="1047"/>
    <n v="1260"/>
    <n v="2307"/>
  </r>
  <r>
    <s v="000261708"/>
    <x v="5"/>
    <n v="6"/>
    <s v="December"/>
    <n v="2021"/>
    <n v="27"/>
    <s v="Young Adults (25-34)"/>
    <s v="M"/>
    <s v="Canada"/>
    <s v="British Columbia"/>
    <s v="Bikes"/>
    <s v="Mountain Bikes"/>
    <s v="Mountain-200 Black, 46"/>
    <n v="1"/>
    <n v="1252"/>
    <n v="2295"/>
    <n v="1043"/>
    <n v="1252"/>
    <n v="2295"/>
  </r>
  <r>
    <s v="000261709"/>
    <x v="5"/>
    <n v="6"/>
    <s v="December"/>
    <n v="2021"/>
    <n v="36"/>
    <s v="Adults (35-64)"/>
    <s v="M"/>
    <s v="Australia"/>
    <s v="New South Wales"/>
    <s v="Bikes"/>
    <s v="Mountain Bikes"/>
    <s v="Mountain-200 Black, 42"/>
    <n v="1"/>
    <n v="1252"/>
    <n v="2295"/>
    <n v="1043"/>
    <n v="1252"/>
    <n v="2295"/>
  </r>
  <r>
    <s v="000261710"/>
    <x v="5"/>
    <n v="6"/>
    <s v="December"/>
    <n v="2021"/>
    <n v="47"/>
    <s v="Adults (35-64)"/>
    <s v="M"/>
    <s v="United Kingdom"/>
    <s v="England"/>
    <s v="Bikes"/>
    <s v="Mountain Bikes"/>
    <s v="Mountain-200 Silver, 38"/>
    <n v="1"/>
    <n v="1266"/>
    <n v="2320"/>
    <n v="1054"/>
    <n v="1266"/>
    <n v="2320"/>
  </r>
  <r>
    <s v="000261711"/>
    <x v="6"/>
    <n v="7"/>
    <s v="December"/>
    <n v="2021"/>
    <n v="30"/>
    <s v="Young Adults (25-34)"/>
    <s v="M"/>
    <s v="United States"/>
    <s v="California"/>
    <s v="Bikes"/>
    <s v="Mountain Bikes"/>
    <s v="Mountain-400-W Silver, 38"/>
    <n v="4"/>
    <n v="420"/>
    <n v="769"/>
    <n v="1396"/>
    <n v="1680"/>
    <n v="3076"/>
  </r>
  <r>
    <s v="000261712"/>
    <x v="6"/>
    <n v="7"/>
    <s v="December"/>
    <n v="2021"/>
    <n v="38"/>
    <s v="Adults (35-64)"/>
    <s v="M"/>
    <s v="United States"/>
    <s v="California"/>
    <s v="Bikes"/>
    <s v="Mountain Bikes"/>
    <s v="Mountain-200 Silver, 42"/>
    <n v="2"/>
    <n v="1266"/>
    <n v="2320"/>
    <n v="2108"/>
    <n v="2532"/>
    <n v="4640"/>
  </r>
  <r>
    <s v="000261713"/>
    <x v="7"/>
    <n v="8"/>
    <s v="December"/>
    <n v="2021"/>
    <n v="19"/>
    <s v="Youth (&lt;25)"/>
    <s v="F"/>
    <s v="Australia"/>
    <s v="New South Wales"/>
    <s v="Bikes"/>
    <s v="Mountain Bikes"/>
    <s v="Mountain-500 Silver, 42"/>
    <n v="4"/>
    <n v="308"/>
    <n v="565"/>
    <n v="1028"/>
    <n v="1232"/>
    <n v="2260"/>
  </r>
  <r>
    <s v="000261714"/>
    <x v="7"/>
    <n v="8"/>
    <s v="December"/>
    <n v="2021"/>
    <n v="30"/>
    <s v="Young Adults (25-34)"/>
    <s v="F"/>
    <s v="Canada"/>
    <s v="British Columbia"/>
    <s v="Bikes"/>
    <s v="Mountain Bikes"/>
    <s v="Mountain-200 Silver, 38"/>
    <n v="4"/>
    <n v="1266"/>
    <n v="2320"/>
    <n v="4216"/>
    <n v="5064"/>
    <n v="9280"/>
  </r>
  <r>
    <s v="000261715"/>
    <x v="7"/>
    <n v="8"/>
    <s v="December"/>
    <n v="2021"/>
    <n v="39"/>
    <s v="Adults (35-64)"/>
    <s v="F"/>
    <s v="United States"/>
    <s v="Oregon"/>
    <s v="Bikes"/>
    <s v="Mountain Bikes"/>
    <s v="Mountain-500 Black, 42"/>
    <n v="2"/>
    <n v="1252"/>
    <n v="2295"/>
    <n v="2086"/>
    <n v="2504"/>
    <n v="4590"/>
  </r>
  <r>
    <s v="000261716"/>
    <x v="7"/>
    <n v="8"/>
    <s v="December"/>
    <n v="2021"/>
    <n v="35"/>
    <s v="Adults (35-64)"/>
    <s v="F"/>
    <s v="United States"/>
    <s v="California"/>
    <s v="Bikes"/>
    <s v="Mountain Bikes"/>
    <s v="Mountain-500 Black, 42"/>
    <n v="1"/>
    <n v="295"/>
    <n v="540"/>
    <n v="245"/>
    <n v="295"/>
    <n v="540"/>
  </r>
  <r>
    <s v="000261717"/>
    <x v="8"/>
    <n v="9"/>
    <s v="December"/>
    <n v="2021"/>
    <n v="33"/>
    <s v="Young Adults (25-34)"/>
    <s v="F"/>
    <s v="Australia"/>
    <s v="Victoria"/>
    <s v="Bikes"/>
    <s v="Mountain Bikes"/>
    <s v="Mountain-100 Black, 38"/>
    <n v="2"/>
    <n v="1898"/>
    <n v="3375"/>
    <n v="2954"/>
    <n v="3796"/>
    <n v="6750"/>
  </r>
  <r>
    <s v="000261718"/>
    <x v="8"/>
    <n v="9"/>
    <s v="December"/>
    <n v="2021"/>
    <n v="41"/>
    <s v="Adults (35-64)"/>
    <s v="F"/>
    <s v="Germany"/>
    <s v="Hamburg"/>
    <s v="Bikes"/>
    <s v="Mountain Bikes"/>
    <s v="Mountain-200 Silver, 42"/>
    <n v="1"/>
    <n v="1266"/>
    <n v="2320"/>
    <n v="1054"/>
    <n v="1266"/>
    <n v="2320"/>
  </r>
  <r>
    <s v="000261719"/>
    <x v="9"/>
    <n v="10"/>
    <s v="December"/>
    <n v="2021"/>
    <n v="34"/>
    <s v="Young Adults (25-34)"/>
    <s v="F"/>
    <s v="United States"/>
    <s v="California"/>
    <s v="Bikes"/>
    <s v="Mountain Bikes"/>
    <s v="Mountain-200 Black, 42"/>
    <n v="2"/>
    <n v="1252"/>
    <n v="2295"/>
    <n v="2086"/>
    <n v="2504"/>
    <n v="4590"/>
  </r>
  <r>
    <s v="000261720"/>
    <x v="9"/>
    <n v="10"/>
    <s v="December"/>
    <n v="2021"/>
    <n v="40"/>
    <s v="Adults (35-64)"/>
    <s v="M"/>
    <s v="Australia"/>
    <s v="New South Wales"/>
    <s v="Bikes"/>
    <s v="Mountain Bikes"/>
    <s v="Mountain-200 Black, 42"/>
    <n v="2"/>
    <n v="1252"/>
    <n v="2295"/>
    <n v="2086"/>
    <n v="2504"/>
    <n v="4590"/>
  </r>
  <r>
    <s v="000261721"/>
    <x v="9"/>
    <n v="10"/>
    <s v="December"/>
    <n v="2021"/>
    <n v="26"/>
    <s v="Young Adults (25-34)"/>
    <s v="M"/>
    <s v="United Kingdom"/>
    <s v="England"/>
    <s v="Bikes"/>
    <s v="Mountain Bikes"/>
    <s v="Mountain-200 Black, 38"/>
    <n v="1"/>
    <n v="1252"/>
    <n v="2295"/>
    <n v="1043"/>
    <n v="1252"/>
    <n v="2295"/>
  </r>
  <r>
    <s v="000261722"/>
    <x v="9"/>
    <n v="10"/>
    <s v="December"/>
    <n v="2021"/>
    <n v="34"/>
    <s v="Young Adults (25-34)"/>
    <s v="M"/>
    <s v="United States"/>
    <s v="California"/>
    <s v="Bikes"/>
    <s v="Mountain Bikes"/>
    <s v="Mountain-500 Black, 40"/>
    <n v="1"/>
    <n v="295"/>
    <n v="540"/>
    <n v="245"/>
    <n v="295"/>
    <n v="540"/>
  </r>
  <r>
    <s v="000261723"/>
    <x v="9"/>
    <n v="10"/>
    <s v="December"/>
    <n v="2021"/>
    <n v="34"/>
    <s v="Young Adults (25-34)"/>
    <s v="F"/>
    <s v="United States"/>
    <s v="Washington"/>
    <s v="Bikes"/>
    <s v="Mountain Bikes"/>
    <s v="Mountain-100 Silver, 44"/>
    <n v="1"/>
    <n v="1912"/>
    <n v="3400"/>
    <n v="1488"/>
    <n v="1912"/>
    <n v="3400"/>
  </r>
  <r>
    <s v="000261724"/>
    <x v="9"/>
    <n v="10"/>
    <s v="December"/>
    <n v="2021"/>
    <n v="38"/>
    <s v="Adults (35-64)"/>
    <s v="M"/>
    <s v="Australia"/>
    <s v="New South Wales"/>
    <s v="Bikes"/>
    <s v="Mountain Bikes"/>
    <s v="Mountain-200 Black, 38"/>
    <n v="1"/>
    <n v="1252"/>
    <n v="2295"/>
    <n v="1043"/>
    <n v="1252"/>
    <n v="2295"/>
  </r>
  <r>
    <s v="000261725"/>
    <x v="10"/>
    <n v="11"/>
    <s v="December"/>
    <n v="2021"/>
    <n v="24"/>
    <s v="Youth (&lt;25)"/>
    <s v="F"/>
    <s v="France"/>
    <s v="Seine (Paris)"/>
    <s v="Bikes"/>
    <s v="Mountain Bikes"/>
    <s v="Mountain-200 Black, 38"/>
    <n v="3"/>
    <n v="1252"/>
    <n v="2295"/>
    <n v="3129"/>
    <n v="3756"/>
    <n v="6885"/>
  </r>
  <r>
    <s v="000261726"/>
    <x v="10"/>
    <n v="11"/>
    <s v="December"/>
    <n v="2021"/>
    <n v="41"/>
    <s v="Adults (35-64)"/>
    <s v="F"/>
    <s v="Australia"/>
    <s v="New South Wales"/>
    <s v="Bikes"/>
    <s v="Mountain Bikes"/>
    <s v="Mountain-400-W Silver, 38"/>
    <n v="2"/>
    <n v="420"/>
    <n v="769"/>
    <n v="698"/>
    <n v="840"/>
    <n v="1538"/>
  </r>
  <r>
    <s v="000261727"/>
    <x v="10"/>
    <n v="11"/>
    <s v="December"/>
    <n v="2021"/>
    <n v="27"/>
    <s v="Young Adults (25-34)"/>
    <s v="M"/>
    <s v="Canada"/>
    <s v="British Columbia"/>
    <s v="Bikes"/>
    <s v="Mountain Bikes"/>
    <s v="Mountain-200 Black, 46"/>
    <n v="1"/>
    <n v="1252"/>
    <n v="2295"/>
    <n v="1043"/>
    <n v="1252"/>
    <n v="2295"/>
  </r>
  <r>
    <s v="000261728"/>
    <x v="10"/>
    <n v="11"/>
    <s v="December"/>
    <n v="2021"/>
    <n v="37"/>
    <s v="Adults (35-64)"/>
    <s v="M"/>
    <s v="United States"/>
    <s v="California"/>
    <s v="Bikes"/>
    <s v="Mountain Bikes"/>
    <s v="Mountain-400-W Silver, 46"/>
    <n v="1"/>
    <n v="420"/>
    <n v="769"/>
    <n v="349"/>
    <n v="420"/>
    <n v="769"/>
  </r>
  <r>
    <s v="000261729"/>
    <x v="10"/>
    <n v="11"/>
    <s v="December"/>
    <n v="2021"/>
    <n v="38"/>
    <s v="Adults (35-64)"/>
    <s v="F"/>
    <s v="United States"/>
    <s v="California"/>
    <s v="Bikes"/>
    <s v="Mountain Bikes"/>
    <s v="Mountain-200 Silver, 38"/>
    <n v="1"/>
    <n v="1266"/>
    <n v="2320"/>
    <n v="1054"/>
    <n v="1266"/>
    <n v="2320"/>
  </r>
  <r>
    <s v="000261730"/>
    <x v="11"/>
    <n v="12"/>
    <s v="December"/>
    <n v="2021"/>
    <n v="36"/>
    <s v="Adults (35-64)"/>
    <s v="F"/>
    <s v="Australia"/>
    <s v="New South Wales"/>
    <s v="Bikes"/>
    <s v="Mountain Bikes"/>
    <s v="Mountain-200 Silver, 42"/>
    <n v="4"/>
    <n v="1266"/>
    <n v="2320"/>
    <n v="4216"/>
    <n v="5064"/>
    <n v="9280"/>
  </r>
  <r>
    <s v="000261731"/>
    <x v="11"/>
    <n v="12"/>
    <s v="December"/>
    <n v="2021"/>
    <n v="37"/>
    <s v="Adults (35-64)"/>
    <s v="M"/>
    <s v="United States"/>
    <s v="California"/>
    <s v="Bikes"/>
    <s v="Mountain Bikes"/>
    <s v="Mountain-400-W Silver, 46"/>
    <n v="4"/>
    <n v="420"/>
    <n v="769"/>
    <n v="1396"/>
    <n v="1680"/>
    <n v="3076"/>
  </r>
  <r>
    <s v="000261732"/>
    <x v="11"/>
    <n v="12"/>
    <s v="December"/>
    <n v="2021"/>
    <n v="34"/>
    <s v="Young Adults (25-34)"/>
    <s v="M"/>
    <s v="Australia"/>
    <s v="New South Wales"/>
    <s v="Bikes"/>
    <s v="Mountain Bikes"/>
    <s v="Mountain-200 Black, 38"/>
    <n v="2"/>
    <n v="1252"/>
    <n v="2295"/>
    <n v="2086"/>
    <n v="2504"/>
    <n v="4590"/>
  </r>
  <r>
    <s v="000261733"/>
    <x v="11"/>
    <n v="12"/>
    <s v="December"/>
    <n v="2021"/>
    <n v="35"/>
    <s v="Adults (35-64)"/>
    <s v="F"/>
    <s v="Australia"/>
    <s v="Victoria"/>
    <s v="Bikes"/>
    <s v="Mountain Bikes"/>
    <s v="Mountain-200 Silver, 42"/>
    <n v="1"/>
    <n v="1266"/>
    <n v="2320"/>
    <n v="1054"/>
    <n v="1266"/>
    <n v="2320"/>
  </r>
  <r>
    <s v="000261734"/>
    <x v="11"/>
    <n v="12"/>
    <s v="December"/>
    <n v="2021"/>
    <n v="38"/>
    <s v="Adults (35-64)"/>
    <s v="F"/>
    <s v="United States"/>
    <s v="Washington"/>
    <s v="Bikes"/>
    <s v="Mountain Bikes"/>
    <s v="Mountain-200 Silver, 42"/>
    <n v="1"/>
    <n v="1266"/>
    <n v="2320"/>
    <n v="1054"/>
    <n v="1266"/>
    <n v="2320"/>
  </r>
  <r>
    <s v="000261735"/>
    <x v="12"/>
    <n v="13"/>
    <s v="December"/>
    <n v="2021"/>
    <n v="32"/>
    <s v="Young Adults (25-34)"/>
    <s v="F"/>
    <s v="Australia"/>
    <s v="Queensland"/>
    <s v="Bikes"/>
    <s v="Mountain Bikes"/>
    <s v="Mountain-200 Silver, 42"/>
    <n v="3"/>
    <n v="1266"/>
    <n v="2320"/>
    <n v="3162"/>
    <n v="3798"/>
    <n v="6960"/>
  </r>
  <r>
    <s v="000261736"/>
    <x v="12"/>
    <n v="13"/>
    <s v="December"/>
    <n v="2021"/>
    <n v="40"/>
    <s v="Adults (35-64)"/>
    <s v="F"/>
    <s v="United States"/>
    <s v="California"/>
    <s v="Bikes"/>
    <s v="Mountain Bikes"/>
    <s v="Mountain-500 Silver, 40"/>
    <n v="1"/>
    <n v="308"/>
    <n v="565"/>
    <n v="257"/>
    <n v="308"/>
    <n v="565"/>
  </r>
  <r>
    <s v="000261737"/>
    <x v="12"/>
    <n v="13"/>
    <s v="December"/>
    <n v="2021"/>
    <n v="44"/>
    <s v="Adults (35-64)"/>
    <s v="F"/>
    <s v="United Kingdom"/>
    <s v="England"/>
    <s v="Bikes"/>
    <s v="Mountain Bikes"/>
    <s v="Mountain-200 Black, 38"/>
    <n v="1"/>
    <n v="1252"/>
    <n v="2295"/>
    <n v="1043"/>
    <n v="1252"/>
    <n v="2295"/>
  </r>
  <r>
    <s v="000261738"/>
    <x v="12"/>
    <n v="13"/>
    <s v="December"/>
    <n v="2021"/>
    <n v="49"/>
    <s v="Adults (35-64)"/>
    <s v="M"/>
    <s v="United Kingdom"/>
    <s v="England"/>
    <s v="Bikes"/>
    <s v="Mountain Bikes"/>
    <s v="Mountain-200 Black, 38"/>
    <n v="1"/>
    <n v="1252"/>
    <n v="2295"/>
    <n v="1043"/>
    <n v="1252"/>
    <n v="2295"/>
  </r>
  <r>
    <s v="000261739"/>
    <x v="13"/>
    <n v="14"/>
    <s v="December"/>
    <n v="2021"/>
    <n v="30"/>
    <s v="Young Adults (25-34)"/>
    <s v="F"/>
    <s v="United States"/>
    <s v="Washington"/>
    <s v="Bikes"/>
    <s v="Mountain Bikes"/>
    <s v="Mountain-200 Silver, 38"/>
    <n v="2"/>
    <n v="1266"/>
    <n v="2320"/>
    <n v="2108"/>
    <n v="2532"/>
    <n v="4640"/>
  </r>
  <r>
    <s v="000261740"/>
    <x v="13"/>
    <n v="14"/>
    <s v="December"/>
    <n v="2021"/>
    <n v="32"/>
    <s v="Young Adults (25-34)"/>
    <s v="M"/>
    <s v="United States"/>
    <s v="California"/>
    <s v="Bikes"/>
    <s v="Mountain Bikes"/>
    <s v="Mountain-200 Black, 46"/>
    <n v="1"/>
    <n v="1252"/>
    <n v="2295"/>
    <n v="1043"/>
    <n v="1252"/>
    <n v="2295"/>
  </r>
  <r>
    <s v="000261741"/>
    <x v="13"/>
    <n v="14"/>
    <s v="December"/>
    <n v="2021"/>
    <n v="32"/>
    <s v="Young Adults (25-34)"/>
    <s v="F"/>
    <s v="Australia"/>
    <s v="Victoria"/>
    <s v="Bikes"/>
    <s v="Mountain Bikes"/>
    <s v="Mountain-400-W Silver, 46"/>
    <n v="1"/>
    <n v="420"/>
    <n v="769"/>
    <n v="349"/>
    <n v="420"/>
    <n v="769"/>
  </r>
  <r>
    <s v="000261742"/>
    <x v="14"/>
    <n v="15"/>
    <s v="December"/>
    <n v="2021"/>
    <n v="29"/>
    <s v="Young Adults (25-34)"/>
    <s v="F"/>
    <s v="United States"/>
    <s v="California"/>
    <s v="Bikes"/>
    <s v="Mountain Bikes"/>
    <s v="Mountain-200 Silver, 42"/>
    <n v="1"/>
    <n v="1266"/>
    <n v="2320"/>
    <n v="1054"/>
    <n v="1266"/>
    <n v="2320"/>
  </r>
  <r>
    <s v="000261743"/>
    <x v="15"/>
    <n v="16"/>
    <s v="December"/>
    <n v="2021"/>
    <n v="33"/>
    <s v="Young Adults (25-34)"/>
    <s v="F"/>
    <s v="Australia"/>
    <s v="New South Wales"/>
    <s v="Bikes"/>
    <s v="Mountain Bikes"/>
    <s v="Mountain-200 Black, 38"/>
    <n v="2"/>
    <n v="1252"/>
    <n v="2295"/>
    <n v="2086"/>
    <n v="2504"/>
    <n v="4590"/>
  </r>
  <r>
    <s v="000261744"/>
    <x v="15"/>
    <n v="16"/>
    <s v="December"/>
    <n v="2021"/>
    <n v="38"/>
    <s v="Adults (35-64)"/>
    <s v="M"/>
    <s v="Australia"/>
    <s v="New South Wales"/>
    <s v="Bikes"/>
    <s v="Mountain Bikes"/>
    <s v="Mountain-200 Black, 38"/>
    <n v="2"/>
    <n v="1252"/>
    <n v="2295"/>
    <n v="2086"/>
    <n v="2504"/>
    <n v="4590"/>
  </r>
  <r>
    <s v="000261745"/>
    <x v="15"/>
    <n v="16"/>
    <s v="December"/>
    <n v="2021"/>
    <n v="27"/>
    <s v="Young Adults (25-34)"/>
    <s v="F"/>
    <s v="France"/>
    <s v="Seine et Marne"/>
    <s v="Bikes"/>
    <s v="Mountain Bikes"/>
    <s v="Mountain-200 Silver, 46"/>
    <n v="1"/>
    <n v="1266"/>
    <n v="2320"/>
    <n v="1054"/>
    <n v="1266"/>
    <n v="2320"/>
  </r>
  <r>
    <s v="000261746"/>
    <x v="16"/>
    <n v="17"/>
    <s v="December"/>
    <n v="2021"/>
    <n v="37"/>
    <s v="Adults (35-64)"/>
    <s v="F"/>
    <s v="United States"/>
    <s v="Washington"/>
    <s v="Bikes"/>
    <s v="Mountain Bikes"/>
    <s v="Mountain-200 Silver, 38"/>
    <n v="2"/>
    <n v="1266"/>
    <n v="2320"/>
    <n v="2108"/>
    <n v="2532"/>
    <n v="4640"/>
  </r>
  <r>
    <s v="000261747"/>
    <x v="16"/>
    <n v="17"/>
    <s v="December"/>
    <n v="2021"/>
    <n v="31"/>
    <s v="Young Adults (25-34)"/>
    <s v="M"/>
    <s v="Australia"/>
    <s v="New South Wales"/>
    <s v="Bikes"/>
    <s v="Mountain Bikes"/>
    <s v="Mountain-400-W Silver, 42"/>
    <n v="1"/>
    <n v="420"/>
    <n v="769"/>
    <n v="349"/>
    <n v="420"/>
    <n v="769"/>
  </r>
  <r>
    <s v="000261748"/>
    <x v="16"/>
    <n v="17"/>
    <s v="December"/>
    <n v="2021"/>
    <n v="42"/>
    <s v="Adults (35-64)"/>
    <s v="F"/>
    <s v="Germany"/>
    <s v="Nordrhein-Westfalen"/>
    <s v="Bikes"/>
    <s v="Mountain Bikes"/>
    <s v="Mountain-200 Silver, 46"/>
    <n v="1"/>
    <n v="1266"/>
    <n v="2320"/>
    <n v="1054"/>
    <n v="1266"/>
    <n v="2320"/>
  </r>
  <r>
    <s v="000261749"/>
    <x v="17"/>
    <n v="18"/>
    <s v="December"/>
    <n v="2021"/>
    <n v="35"/>
    <s v="Adults (35-64)"/>
    <s v="F"/>
    <s v="Australia"/>
    <s v="New South Wales"/>
    <s v="Bikes"/>
    <s v="Mountain Bikes"/>
    <s v="Mountain-500 Silver, 42"/>
    <n v="4"/>
    <n v="308"/>
    <n v="565"/>
    <n v="1028"/>
    <n v="1232"/>
    <n v="2260"/>
  </r>
  <r>
    <s v="000261750"/>
    <x v="17"/>
    <n v="18"/>
    <s v="December"/>
    <n v="2021"/>
    <n v="38"/>
    <s v="Adults (35-64)"/>
    <s v="F"/>
    <s v="Germany"/>
    <s v="Nordrhein-Westfalen"/>
    <s v="Bikes"/>
    <s v="Mountain Bikes"/>
    <s v="Mountain-200 Silver, 46"/>
    <n v="4"/>
    <n v="1266"/>
    <n v="2320"/>
    <n v="4216"/>
    <n v="5064"/>
    <n v="9280"/>
  </r>
  <r>
    <s v="000261751"/>
    <x v="17"/>
    <n v="18"/>
    <s v="December"/>
    <n v="2021"/>
    <n v="24"/>
    <s v="Youth (&lt;25)"/>
    <s v="F"/>
    <s v="France"/>
    <s v="Seine Saint Denis"/>
    <s v="Bikes"/>
    <s v="Mountain Bikes"/>
    <s v="Mountain-200 Silver, 38"/>
    <n v="3"/>
    <n v="1266"/>
    <n v="2320"/>
    <n v="3162"/>
    <n v="3798"/>
    <n v="6960"/>
  </r>
  <r>
    <s v="000261752"/>
    <x v="17"/>
    <n v="18"/>
    <s v="December"/>
    <n v="2021"/>
    <n v="26"/>
    <s v="Young Adults (25-34)"/>
    <s v="F"/>
    <s v="United Kingdom"/>
    <s v="England"/>
    <s v="Bikes"/>
    <s v="Mountain Bikes"/>
    <s v="Mountain-400-W Silver, 42"/>
    <n v="3"/>
    <n v="420"/>
    <n v="769"/>
    <n v="1047"/>
    <n v="1260"/>
    <n v="2307"/>
  </r>
  <r>
    <s v="000261753"/>
    <x v="17"/>
    <n v="18"/>
    <s v="December"/>
    <n v="2021"/>
    <n v="39"/>
    <s v="Adults (35-64)"/>
    <s v="M"/>
    <s v="United States"/>
    <s v="California"/>
    <s v="Bikes"/>
    <s v="Mountain Bikes"/>
    <s v="Mountain-200 Black, 42"/>
    <n v="3"/>
    <n v="1252"/>
    <n v="2295"/>
    <n v="3129"/>
    <n v="3756"/>
    <n v="6885"/>
  </r>
  <r>
    <s v="000261754"/>
    <x v="17"/>
    <n v="18"/>
    <s v="December"/>
    <n v="2021"/>
    <n v="26"/>
    <s v="Young Adults (25-34)"/>
    <s v="M"/>
    <s v="France"/>
    <s v="Seine (Paris)"/>
    <s v="Bikes"/>
    <s v="Mountain Bikes"/>
    <s v="Mountain-200 Black, 46"/>
    <n v="1"/>
    <n v="1252"/>
    <n v="2295"/>
    <n v="1043"/>
    <n v="1252"/>
    <n v="2295"/>
  </r>
  <r>
    <s v="000261755"/>
    <x v="17"/>
    <n v="18"/>
    <s v="December"/>
    <n v="2021"/>
    <n v="36"/>
    <s v="Adults (35-64)"/>
    <s v="M"/>
    <s v="United States"/>
    <s v="Washington"/>
    <s v="Bikes"/>
    <s v="Mountain Bikes"/>
    <s v="Mountain-200 Silver, 38"/>
    <n v="1"/>
    <n v="1266"/>
    <n v="2320"/>
    <n v="1054"/>
    <n v="1266"/>
    <n v="2320"/>
  </r>
  <r>
    <s v="000261756"/>
    <x v="18"/>
    <n v="19"/>
    <s v="December"/>
    <n v="2021"/>
    <n v="17"/>
    <s v="Youth (&lt;25)"/>
    <s v="M"/>
    <s v="France"/>
    <s v="Nord"/>
    <s v="Bikes"/>
    <s v="Mountain Bikes"/>
    <s v="Mountain-200 Silver, 46"/>
    <n v="4"/>
    <n v="1266"/>
    <n v="2320"/>
    <n v="4216"/>
    <n v="5064"/>
    <n v="9280"/>
  </r>
  <r>
    <s v="000261757"/>
    <x v="18"/>
    <n v="19"/>
    <s v="December"/>
    <n v="2021"/>
    <n v="19"/>
    <s v="Youth (&lt;25)"/>
    <s v="F"/>
    <s v="Australia"/>
    <s v="Victoria"/>
    <s v="Bikes"/>
    <s v="Mountain Bikes"/>
    <s v="Mountain-500 Black, 44"/>
    <n v="4"/>
    <n v="295"/>
    <n v="540"/>
    <n v="980"/>
    <n v="1180"/>
    <n v="2160"/>
  </r>
  <r>
    <s v="000261758"/>
    <x v="18"/>
    <n v="19"/>
    <s v="December"/>
    <n v="2021"/>
    <n v="25"/>
    <s v="Young Adults (25-34)"/>
    <s v="M"/>
    <s v="France"/>
    <s v="Seine (Paris)"/>
    <s v="Bikes"/>
    <s v="Mountain Bikes"/>
    <s v="Mountain-200 Black, 38"/>
    <n v="4"/>
    <n v="1252"/>
    <n v="2295"/>
    <n v="4172"/>
    <n v="5008"/>
    <n v="9180"/>
  </r>
  <r>
    <s v="000261759"/>
    <x v="18"/>
    <n v="19"/>
    <s v="December"/>
    <n v="2021"/>
    <n v="35"/>
    <s v="Adults (35-64)"/>
    <s v="F"/>
    <s v="United States"/>
    <s v="Oregon"/>
    <s v="Bikes"/>
    <s v="Mountain Bikes"/>
    <s v="Mountain-100 Black, 48"/>
    <n v="4"/>
    <n v="1898"/>
    <n v="3375"/>
    <n v="5908"/>
    <n v="7592"/>
    <n v="13500"/>
  </r>
  <r>
    <s v="000261760"/>
    <x v="18"/>
    <n v="19"/>
    <s v="December"/>
    <n v="2021"/>
    <n v="37"/>
    <s v="Adults (35-64)"/>
    <s v="M"/>
    <s v="United States"/>
    <s v="Oregon"/>
    <s v="Bikes"/>
    <s v="Mountain Bikes"/>
    <s v="Mountain-200 Black, 38"/>
    <n v="4"/>
    <n v="1252"/>
    <n v="2295"/>
    <n v="4172"/>
    <n v="5008"/>
    <n v="9180"/>
  </r>
  <r>
    <s v="000261761"/>
    <x v="18"/>
    <n v="19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762"/>
    <x v="18"/>
    <n v="19"/>
    <s v="December"/>
    <n v="2021"/>
    <n v="63"/>
    <s v="Adults (35-64)"/>
    <s v="F"/>
    <s v="Australia"/>
    <s v="Queensland"/>
    <s v="Bikes"/>
    <s v="Mountain Bikes"/>
    <s v="Mountain-200 Black, 46"/>
    <n v="4"/>
    <n v="1252"/>
    <n v="2295"/>
    <n v="4172"/>
    <n v="5008"/>
    <n v="9180"/>
  </r>
  <r>
    <s v="000261763"/>
    <x v="18"/>
    <n v="19"/>
    <s v="December"/>
    <n v="2021"/>
    <n v="18"/>
    <s v="Youth (&lt;25)"/>
    <s v="M"/>
    <s v="Australia"/>
    <s v="South Australia"/>
    <s v="Bikes"/>
    <s v="Mountain Bikes"/>
    <s v="Mountain-500 Black, 40"/>
    <n v="2"/>
    <n v="295"/>
    <n v="540"/>
    <n v="490"/>
    <n v="590"/>
    <n v="1080"/>
  </r>
  <r>
    <s v="000261764"/>
    <x v="18"/>
    <n v="19"/>
    <s v="December"/>
    <n v="2021"/>
    <n v="56"/>
    <s v="Adults (35-64)"/>
    <s v="F"/>
    <s v="Germany"/>
    <s v="Hessen"/>
    <s v="Bikes"/>
    <s v="Mountain Bikes"/>
    <s v="Mountain-200 Black, 46"/>
    <n v="2"/>
    <n v="1252"/>
    <n v="2295"/>
    <n v="2086"/>
    <n v="2504"/>
    <n v="4590"/>
  </r>
  <r>
    <s v="000261765"/>
    <x v="18"/>
    <n v="19"/>
    <s v="December"/>
    <n v="2021"/>
    <n v="39"/>
    <s v="Adults (35-64)"/>
    <s v="F"/>
    <s v="United States"/>
    <s v="Washington"/>
    <s v="Bikes"/>
    <s v="Mountain Bikes"/>
    <s v="Mountain-200 Silver, 38"/>
    <n v="11"/>
    <n v="1266"/>
    <n v="2320"/>
    <n v="1054"/>
    <n v="13926"/>
    <n v="25520"/>
  </r>
  <r>
    <s v="000261766"/>
    <x v="19"/>
    <n v="20"/>
    <s v="December"/>
    <n v="2021"/>
    <n v="33"/>
    <s v="Young Adults (25-34)"/>
    <s v="F"/>
    <s v="Australia"/>
    <s v="Victoria"/>
    <s v="Bikes"/>
    <s v="Mountain Bikes"/>
    <s v="Mountain-100 Black, 38"/>
    <n v="4"/>
    <n v="1898"/>
    <n v="3375"/>
    <n v="5908"/>
    <n v="7592"/>
    <n v="13500"/>
  </r>
  <r>
    <s v="000261767"/>
    <x v="19"/>
    <n v="20"/>
    <s v="December"/>
    <n v="2021"/>
    <n v="57"/>
    <s v="Adults (35-64)"/>
    <s v="M"/>
    <s v="Australia"/>
    <s v="Queensland"/>
    <s v="Bikes"/>
    <s v="Mountain Bikes"/>
    <s v="Mountain-200 Black, 46"/>
    <n v="4"/>
    <n v="1252"/>
    <n v="2295"/>
    <n v="4172"/>
    <n v="5008"/>
    <n v="9180"/>
  </r>
  <r>
    <s v="000261768"/>
    <x v="19"/>
    <n v="20"/>
    <s v="December"/>
    <n v="2021"/>
    <n v="29"/>
    <s v="Young Adults (25-34)"/>
    <s v="M"/>
    <s v="Canada"/>
    <s v="British Columbia"/>
    <s v="Bikes"/>
    <s v="Mountain Bikes"/>
    <s v="Mountain-500 Black, 52"/>
    <n v="3"/>
    <n v="295"/>
    <n v="540"/>
    <n v="735"/>
    <n v="885"/>
    <n v="1620"/>
  </r>
  <r>
    <s v="000261769"/>
    <x v="19"/>
    <n v="20"/>
    <s v="December"/>
    <n v="2021"/>
    <n v="35"/>
    <s v="Adults (35-64)"/>
    <s v="F"/>
    <s v="Australia"/>
    <s v="Queensland"/>
    <s v="Bikes"/>
    <s v="Mountain Bikes"/>
    <s v="Mountain-200 Silver, 38"/>
    <n v="1"/>
    <n v="1266"/>
    <n v="2320"/>
    <n v="1054"/>
    <n v="1266"/>
    <n v="2320"/>
  </r>
  <r>
    <s v="000261770"/>
    <x v="19"/>
    <n v="20"/>
    <s v="December"/>
    <n v="2021"/>
    <n v="35"/>
    <s v="Adults (35-64)"/>
    <s v="M"/>
    <s v="Australia"/>
    <s v="Victoria"/>
    <s v="Bikes"/>
    <s v="Mountain Bikes"/>
    <s v="Mountain-200 Silver, 38"/>
    <n v="1"/>
    <n v="1266"/>
    <n v="2320"/>
    <n v="1054"/>
    <n v="1266"/>
    <n v="2320"/>
  </r>
  <r>
    <s v="000261771"/>
    <x v="20"/>
    <n v="21"/>
    <s v="December"/>
    <n v="2021"/>
    <n v="26"/>
    <s v="Young Adults (25-34)"/>
    <s v="M"/>
    <s v="France"/>
    <s v="Somme"/>
    <s v="Bikes"/>
    <s v="Mountain Bikes"/>
    <s v="Mountain-200 Silver, 38"/>
    <n v="3"/>
    <n v="1266"/>
    <n v="2320"/>
    <n v="3162"/>
    <n v="3798"/>
    <n v="6960"/>
  </r>
  <r>
    <s v="000261772"/>
    <x v="20"/>
    <n v="21"/>
    <s v="December"/>
    <n v="2021"/>
    <n v="23"/>
    <s v="Youth (&lt;25)"/>
    <s v="M"/>
    <s v="United Kingdom"/>
    <s v="England"/>
    <s v="Bikes"/>
    <s v="Mountain Bikes"/>
    <s v="Mountain-400-W Silver, 46"/>
    <n v="2"/>
    <n v="420"/>
    <n v="769"/>
    <n v="698"/>
    <n v="840"/>
    <n v="1538"/>
  </r>
  <r>
    <s v="000261773"/>
    <x v="21"/>
    <n v="22"/>
    <s v="December"/>
    <n v="2021"/>
    <n v="30"/>
    <s v="Young Adults (25-34)"/>
    <s v="F"/>
    <s v="United States"/>
    <s v="Washington"/>
    <s v="Bikes"/>
    <s v="Mountain Bikes"/>
    <s v="Mountain-200 Silver, 38"/>
    <n v="3"/>
    <n v="1266"/>
    <n v="2320"/>
    <n v="3162"/>
    <n v="3798"/>
    <n v="6960"/>
  </r>
  <r>
    <s v="000261774"/>
    <x v="21"/>
    <n v="22"/>
    <s v="December"/>
    <n v="2021"/>
    <n v="41"/>
    <s v="Adults (35-64)"/>
    <s v="M"/>
    <s v="United States"/>
    <s v="California"/>
    <s v="Bikes"/>
    <s v="Mountain Bikes"/>
    <s v="Mountain-200 Black, 42"/>
    <n v="3"/>
    <n v="1252"/>
    <n v="2295"/>
    <n v="3129"/>
    <n v="3756"/>
    <n v="6885"/>
  </r>
  <r>
    <s v="000261775"/>
    <x v="21"/>
    <n v="22"/>
    <s v="December"/>
    <n v="2021"/>
    <n v="19"/>
    <s v="Youth (&lt;25)"/>
    <s v="F"/>
    <s v="Australia"/>
    <s v="New South Wales"/>
    <s v="Bikes"/>
    <s v="Mountain Bikes"/>
    <s v="Mountain-500 Silver, 42"/>
    <n v="1"/>
    <n v="308"/>
    <n v="565"/>
    <n v="257"/>
    <n v="308"/>
    <n v="565"/>
  </r>
  <r>
    <s v="000261776"/>
    <x v="21"/>
    <n v="22"/>
    <s v="December"/>
    <n v="2021"/>
    <n v="25"/>
    <s v="Young Adults (25-34)"/>
    <s v="M"/>
    <s v="France"/>
    <s v="Seine (Paris)"/>
    <s v="Bikes"/>
    <s v="Mountain Bikes"/>
    <s v="Mountain-200 Black, 38"/>
    <n v="1"/>
    <n v="1252"/>
    <n v="2295"/>
    <n v="1043"/>
    <n v="1252"/>
    <n v="2295"/>
  </r>
  <r>
    <s v="000261777"/>
    <x v="21"/>
    <n v="22"/>
    <s v="December"/>
    <n v="2021"/>
    <n v="27"/>
    <s v="Young Adults (25-34)"/>
    <s v="F"/>
    <s v="Canada"/>
    <s v="British Columbia"/>
    <s v="Bikes"/>
    <s v="Mountain Bikes"/>
    <s v="Mountain-200 Black, 46"/>
    <n v="1"/>
    <n v="1252"/>
    <n v="2295"/>
    <n v="1043"/>
    <n v="1252"/>
    <n v="2295"/>
  </r>
  <r>
    <s v="000261778"/>
    <x v="21"/>
    <n v="22"/>
    <s v="December"/>
    <n v="2021"/>
    <n v="41"/>
    <s v="Adults (35-64)"/>
    <s v="M"/>
    <s v="Germany"/>
    <s v="Hessen"/>
    <s v="Bikes"/>
    <s v="Mountain Bikes"/>
    <s v="Mountain-200 Silver, 38"/>
    <n v="1"/>
    <n v="1266"/>
    <n v="2320"/>
    <n v="1054"/>
    <n v="1266"/>
    <n v="2320"/>
  </r>
  <r>
    <s v="000261779"/>
    <x v="22"/>
    <n v="23"/>
    <s v="December"/>
    <n v="2021"/>
    <n v="30"/>
    <s v="Young Adults (25-34)"/>
    <s v="F"/>
    <s v="United States"/>
    <s v="Oregon"/>
    <s v="Bikes"/>
    <s v="Mountain Bikes"/>
    <s v="Mountain-200 Silver, 42"/>
    <n v="1"/>
    <n v="1266"/>
    <n v="2320"/>
    <n v="1054"/>
    <n v="1266"/>
    <n v="2320"/>
  </r>
  <r>
    <s v="000261780"/>
    <x v="22"/>
    <n v="23"/>
    <s v="December"/>
    <n v="2021"/>
    <n v="31"/>
    <s v="Young Adults (25-34)"/>
    <s v="F"/>
    <s v="Canada"/>
    <s v="British Columbia"/>
    <s v="Bikes"/>
    <s v="Mountain Bikes"/>
    <s v="Mountain-200 Black, 42"/>
    <n v="1"/>
    <n v="1252"/>
    <n v="2295"/>
    <n v="1043"/>
    <n v="1252"/>
    <n v="2295"/>
  </r>
  <r>
    <s v="000261781"/>
    <x v="22"/>
    <n v="23"/>
    <s v="December"/>
    <n v="2021"/>
    <n v="35"/>
    <s v="Adults (35-64)"/>
    <s v="F"/>
    <s v="United States"/>
    <s v="California"/>
    <s v="Bikes"/>
    <s v="Mountain Bikes"/>
    <s v="Mountain-500 Black, 42"/>
    <n v="1"/>
    <n v="295"/>
    <n v="540"/>
    <n v="245"/>
    <n v="295"/>
    <n v="540"/>
  </r>
  <r>
    <s v="000261782"/>
    <x v="23"/>
    <n v="24"/>
    <s v="December"/>
    <n v="2021"/>
    <n v="38"/>
    <s v="Adults (35-64)"/>
    <s v="M"/>
    <s v="Australia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7D560-23D3-43B8-8230-394B6A524F6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19">
    <pivotField showAll="0"/>
    <pivotField axis="axisRow" numFmtId="14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1"/>
  </rowFields>
  <rowItems count="25">
    <i>
      <x v="18"/>
    </i>
    <i>
      <x v="17"/>
    </i>
    <i>
      <x v="19"/>
    </i>
    <i>
      <x v="11"/>
    </i>
    <i>
      <x v="7"/>
    </i>
    <i>
      <x v="4"/>
    </i>
    <i>
      <x v="21"/>
    </i>
    <i>
      <x v="10"/>
    </i>
    <i>
      <x v="9"/>
    </i>
    <i>
      <x v="6"/>
    </i>
    <i>
      <x v="5"/>
    </i>
    <i>
      <x v="12"/>
    </i>
    <i>
      <x v="20"/>
    </i>
    <i>
      <x/>
    </i>
    <i>
      <x v="15"/>
    </i>
    <i>
      <x v="3"/>
    </i>
    <i>
      <x v="23"/>
    </i>
    <i>
      <x v="16"/>
    </i>
    <i>
      <x v="2"/>
    </i>
    <i>
      <x v="13"/>
    </i>
    <i>
      <x v="1"/>
    </i>
    <i>
      <x v="22"/>
    </i>
    <i>
      <x v="8"/>
    </i>
    <i>
      <x v="14"/>
    </i>
    <i t="grand">
      <x/>
    </i>
  </rowItems>
  <colItems count="1">
    <i/>
  </colItems>
  <dataFields count="1">
    <dataField name="Sum of Order_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E9F5-792C-48BE-A2FA-7CCABB9AF55E}">
  <dimension ref="A3:E28"/>
  <sheetViews>
    <sheetView tabSelected="1" workbookViewId="0">
      <selection activeCell="K25" sqref="K25"/>
    </sheetView>
  </sheetViews>
  <sheetFormatPr defaultRowHeight="14.4" x14ac:dyDescent="0.3"/>
  <cols>
    <col min="1" max="1" width="12.5546875" bestFit="1" customWidth="1"/>
    <col min="2" max="2" width="20.77734375" bestFit="1" customWidth="1"/>
    <col min="4" max="4" width="11.77734375" customWidth="1"/>
  </cols>
  <sheetData>
    <row r="3" spans="1:5" x14ac:dyDescent="0.3">
      <c r="A3" s="9" t="s">
        <v>156</v>
      </c>
      <c r="B3" t="s">
        <v>158</v>
      </c>
      <c r="D3" s="12" t="s">
        <v>156</v>
      </c>
      <c r="E3" s="12" t="s">
        <v>158</v>
      </c>
    </row>
    <row r="4" spans="1:5" x14ac:dyDescent="0.3">
      <c r="A4" s="10">
        <v>44549</v>
      </c>
      <c r="B4" s="11">
        <v>43</v>
      </c>
      <c r="D4" s="10">
        <v>44554</v>
      </c>
      <c r="E4" s="11">
        <v>4</v>
      </c>
    </row>
    <row r="5" spans="1:5" x14ac:dyDescent="0.3">
      <c r="A5" s="10">
        <v>44548</v>
      </c>
      <c r="B5" s="11">
        <v>19</v>
      </c>
      <c r="D5" s="10">
        <v>44553</v>
      </c>
      <c r="E5" s="11">
        <v>3</v>
      </c>
    </row>
    <row r="6" spans="1:5" x14ac:dyDescent="0.3">
      <c r="A6" s="10">
        <v>44550</v>
      </c>
      <c r="B6" s="11">
        <v>13</v>
      </c>
      <c r="D6" s="10">
        <v>44552</v>
      </c>
      <c r="E6" s="11">
        <v>10</v>
      </c>
    </row>
    <row r="7" spans="1:5" x14ac:dyDescent="0.3">
      <c r="A7" s="10">
        <v>44542</v>
      </c>
      <c r="B7" s="11">
        <v>12</v>
      </c>
      <c r="D7" s="10">
        <v>44551</v>
      </c>
      <c r="E7" s="11">
        <v>5</v>
      </c>
    </row>
    <row r="8" spans="1:5" x14ac:dyDescent="0.3">
      <c r="A8" s="10">
        <v>44538</v>
      </c>
      <c r="B8" s="11">
        <v>11</v>
      </c>
      <c r="D8" s="10">
        <v>44550</v>
      </c>
      <c r="E8" s="11">
        <v>13</v>
      </c>
    </row>
    <row r="9" spans="1:5" x14ac:dyDescent="0.3">
      <c r="A9" s="10">
        <v>44535</v>
      </c>
      <c r="B9" s="11">
        <v>10</v>
      </c>
      <c r="D9" s="10">
        <v>44549</v>
      </c>
      <c r="E9" s="11">
        <v>43</v>
      </c>
    </row>
    <row r="10" spans="1:5" x14ac:dyDescent="0.3">
      <c r="A10" s="10">
        <v>44552</v>
      </c>
      <c r="B10" s="11">
        <v>10</v>
      </c>
      <c r="D10" s="10">
        <v>44548</v>
      </c>
      <c r="E10" s="11">
        <v>19</v>
      </c>
    </row>
    <row r="11" spans="1:5" x14ac:dyDescent="0.3">
      <c r="A11" s="10">
        <v>44541</v>
      </c>
      <c r="B11" s="11">
        <v>8</v>
      </c>
      <c r="D11" s="10">
        <v>44547</v>
      </c>
      <c r="E11" s="11">
        <v>4</v>
      </c>
    </row>
    <row r="12" spans="1:5" x14ac:dyDescent="0.3">
      <c r="A12" s="10">
        <v>44540</v>
      </c>
      <c r="B12" s="11">
        <v>8</v>
      </c>
      <c r="D12" s="10">
        <v>44546</v>
      </c>
      <c r="E12" s="11">
        <v>5</v>
      </c>
    </row>
    <row r="13" spans="1:5" x14ac:dyDescent="0.3">
      <c r="A13" s="10">
        <v>44537</v>
      </c>
      <c r="B13" s="11">
        <v>6</v>
      </c>
      <c r="D13" s="10">
        <v>44545</v>
      </c>
      <c r="E13" s="11">
        <v>1</v>
      </c>
    </row>
    <row r="14" spans="1:5" x14ac:dyDescent="0.3">
      <c r="A14" s="10">
        <v>44536</v>
      </c>
      <c r="B14" s="11">
        <v>6</v>
      </c>
      <c r="D14" s="10">
        <v>44544</v>
      </c>
      <c r="E14" s="11">
        <v>4</v>
      </c>
    </row>
    <row r="15" spans="1:5" x14ac:dyDescent="0.3">
      <c r="A15" s="10">
        <v>44543</v>
      </c>
      <c r="B15" s="11">
        <v>6</v>
      </c>
      <c r="D15" s="10">
        <v>44543</v>
      </c>
      <c r="E15" s="11">
        <v>6</v>
      </c>
    </row>
    <row r="16" spans="1:5" x14ac:dyDescent="0.3">
      <c r="A16" s="10">
        <v>44551</v>
      </c>
      <c r="B16" s="11">
        <v>5</v>
      </c>
      <c r="D16" s="10">
        <v>44542</v>
      </c>
      <c r="E16" s="11">
        <v>12</v>
      </c>
    </row>
    <row r="17" spans="1:5" x14ac:dyDescent="0.3">
      <c r="A17" s="10">
        <v>44531</v>
      </c>
      <c r="B17" s="11">
        <v>5</v>
      </c>
      <c r="D17" s="10">
        <v>44541</v>
      </c>
      <c r="E17" s="11">
        <v>8</v>
      </c>
    </row>
    <row r="18" spans="1:5" x14ac:dyDescent="0.3">
      <c r="A18" s="10">
        <v>44546</v>
      </c>
      <c r="B18" s="11">
        <v>5</v>
      </c>
      <c r="D18" s="10">
        <v>44540</v>
      </c>
      <c r="E18" s="11">
        <v>8</v>
      </c>
    </row>
    <row r="19" spans="1:5" x14ac:dyDescent="0.3">
      <c r="A19" s="10">
        <v>44534</v>
      </c>
      <c r="B19" s="11">
        <v>4</v>
      </c>
      <c r="D19" s="10">
        <v>44539</v>
      </c>
      <c r="E19" s="11">
        <v>3</v>
      </c>
    </row>
    <row r="20" spans="1:5" x14ac:dyDescent="0.3">
      <c r="A20" s="10">
        <v>44554</v>
      </c>
      <c r="B20" s="11">
        <v>4</v>
      </c>
      <c r="D20" s="10">
        <v>44538</v>
      </c>
      <c r="E20" s="11">
        <v>11</v>
      </c>
    </row>
    <row r="21" spans="1:5" x14ac:dyDescent="0.3">
      <c r="A21" s="10">
        <v>44547</v>
      </c>
      <c r="B21" s="11">
        <v>4</v>
      </c>
      <c r="D21" s="10">
        <v>44537</v>
      </c>
      <c r="E21" s="11">
        <v>6</v>
      </c>
    </row>
    <row r="22" spans="1:5" x14ac:dyDescent="0.3">
      <c r="A22" s="10">
        <v>44533</v>
      </c>
      <c r="B22" s="11">
        <v>4</v>
      </c>
      <c r="D22" s="10">
        <v>44536</v>
      </c>
      <c r="E22" s="11">
        <v>6</v>
      </c>
    </row>
    <row r="23" spans="1:5" x14ac:dyDescent="0.3">
      <c r="A23" s="10">
        <v>44544</v>
      </c>
      <c r="B23" s="11">
        <v>4</v>
      </c>
      <c r="D23" s="10">
        <v>44535</v>
      </c>
      <c r="E23" s="11">
        <v>10</v>
      </c>
    </row>
    <row r="24" spans="1:5" x14ac:dyDescent="0.3">
      <c r="A24" s="10">
        <v>44532</v>
      </c>
      <c r="B24" s="11">
        <v>3</v>
      </c>
      <c r="D24" s="10">
        <v>44534</v>
      </c>
      <c r="E24" s="11">
        <v>4</v>
      </c>
    </row>
    <row r="25" spans="1:5" x14ac:dyDescent="0.3">
      <c r="A25" s="10">
        <v>44553</v>
      </c>
      <c r="B25" s="11">
        <v>3</v>
      </c>
      <c r="D25" s="10">
        <v>44533</v>
      </c>
      <c r="E25" s="11">
        <v>4</v>
      </c>
    </row>
    <row r="26" spans="1:5" x14ac:dyDescent="0.3">
      <c r="A26" s="10">
        <v>44539</v>
      </c>
      <c r="B26" s="11">
        <v>3</v>
      </c>
      <c r="D26" s="10">
        <v>44532</v>
      </c>
      <c r="E26" s="11">
        <v>3</v>
      </c>
    </row>
    <row r="27" spans="1:5" x14ac:dyDescent="0.3">
      <c r="A27" s="10">
        <v>44545</v>
      </c>
      <c r="B27" s="11">
        <v>1</v>
      </c>
      <c r="D27" s="10">
        <v>44531</v>
      </c>
      <c r="E27" s="11">
        <v>5</v>
      </c>
    </row>
    <row r="28" spans="1:5" x14ac:dyDescent="0.3">
      <c r="A28" s="10" t="s">
        <v>157</v>
      </c>
      <c r="B28" s="11">
        <v>197</v>
      </c>
    </row>
  </sheetData>
  <sortState xmlns:xlrd2="http://schemas.microsoft.com/office/spreadsheetml/2017/richdata2" ref="D4:E27">
    <sortCondition descending="1" ref="D4:D27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C1" workbookViewId="0">
      <selection activeCell="O1" sqref="O1:O1048576"/>
    </sheetView>
  </sheetViews>
  <sheetFormatPr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9" max="9" width="15.44140625" bestFit="1" customWidth="1"/>
    <col min="10" max="10" width="19.88671875" bestFit="1" customWidth="1"/>
    <col min="12" max="12" width="14.88671875" bestFit="1" customWidth="1"/>
    <col min="13" max="13" width="25" bestFit="1" customWidth="1"/>
    <col min="15" max="15" width="10.44140625" bestFit="1" customWidth="1"/>
    <col min="16" max="16" width="11" bestFit="1" customWidth="1"/>
    <col min="17" max="17" width="9.88671875" bestFit="1" customWidth="1"/>
    <col min="18" max="18" width="11.4414062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>N3*O3</f>
        <v>1266</v>
      </c>
      <c r="S3" s="2">
        <f>N3*P3</f>
        <v>2320</v>
      </c>
    </row>
    <row r="4" spans="1:19" x14ac:dyDescent="0.3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>N4*O4</f>
        <v>840</v>
      </c>
      <c r="S4" s="2">
        <f>N4*P4</f>
        <v>1538</v>
      </c>
    </row>
    <row r="5" spans="1:19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>N5*O5</f>
        <v>420</v>
      </c>
      <c r="S5" s="2">
        <f>N5*P5</f>
        <v>769</v>
      </c>
    </row>
    <row r="6" spans="1:19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>N6*O6</f>
        <v>2504</v>
      </c>
      <c r="S6" s="2">
        <f>N6*P6</f>
        <v>4590</v>
      </c>
    </row>
    <row r="7" spans="1:19" x14ac:dyDescent="0.3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>N7*O7</f>
        <v>1252</v>
      </c>
      <c r="S7" s="2">
        <f>N7*P7</f>
        <v>2295</v>
      </c>
    </row>
    <row r="8" spans="1:19" x14ac:dyDescent="0.3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>N8*O8</f>
        <v>1252</v>
      </c>
      <c r="S8" s="2">
        <f>N8*P8</f>
        <v>2295</v>
      </c>
    </row>
    <row r="9" spans="1:19" x14ac:dyDescent="0.3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>N9*O9</f>
        <v>1680</v>
      </c>
      <c r="S9" s="2">
        <f>N9*P9</f>
        <v>3076</v>
      </c>
    </row>
    <row r="10" spans="1:19" x14ac:dyDescent="0.3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>N10*O10</f>
        <v>5008</v>
      </c>
      <c r="S10" s="2">
        <f>N10*P10</f>
        <v>9180</v>
      </c>
    </row>
    <row r="11" spans="1:19" x14ac:dyDescent="0.3">
      <c r="A11" s="3" t="s">
        <v>48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>N11*O11</f>
        <v>5008</v>
      </c>
      <c r="S11" s="2">
        <f>N11*P11</f>
        <v>9180</v>
      </c>
    </row>
    <row r="12" spans="1:19" x14ac:dyDescent="0.3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>N12*O12</f>
        <v>1266</v>
      </c>
      <c r="S12" s="2">
        <f>N12*P12</f>
        <v>2320</v>
      </c>
    </row>
    <row r="13" spans="1:19" x14ac:dyDescent="0.3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>N13*O13</f>
        <v>1252</v>
      </c>
      <c r="S13" s="2">
        <f>N13*P13</f>
        <v>2295</v>
      </c>
    </row>
    <row r="14" spans="1:19" x14ac:dyDescent="0.3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>N14*O14</f>
        <v>1260</v>
      </c>
      <c r="S14" s="2">
        <f>N14*P14</f>
        <v>2307</v>
      </c>
    </row>
    <row r="15" spans="1:19" x14ac:dyDescent="0.3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>N15*O15</f>
        <v>1252</v>
      </c>
      <c r="S15" s="2">
        <f>N15*P15</f>
        <v>2295</v>
      </c>
    </row>
    <row r="16" spans="1:19" x14ac:dyDescent="0.3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>N16*O16</f>
        <v>1252</v>
      </c>
      <c r="S16" s="2">
        <f>N16*P16</f>
        <v>2295</v>
      </c>
    </row>
    <row r="17" spans="1:19" x14ac:dyDescent="0.3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>N17*O17</f>
        <v>1266</v>
      </c>
      <c r="S17" s="2">
        <f>N17*P17</f>
        <v>2320</v>
      </c>
    </row>
    <row r="18" spans="1:19" x14ac:dyDescent="0.3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>N18*O18</f>
        <v>1680</v>
      </c>
      <c r="S18" s="2">
        <f>N18*P18</f>
        <v>3076</v>
      </c>
    </row>
    <row r="19" spans="1:19" x14ac:dyDescent="0.3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>N19*O19</f>
        <v>2532</v>
      </c>
      <c r="S19" s="2">
        <f>N19*P19</f>
        <v>4640</v>
      </c>
    </row>
    <row r="20" spans="1:19" x14ac:dyDescent="0.3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>N20*O20</f>
        <v>1232</v>
      </c>
      <c r="S20" s="2">
        <f>N20*P20</f>
        <v>2260</v>
      </c>
    </row>
    <row r="21" spans="1:19" x14ac:dyDescent="0.3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>N21*O21</f>
        <v>5064</v>
      </c>
      <c r="S21" s="2">
        <f>N21*P21</f>
        <v>9280</v>
      </c>
    </row>
    <row r="22" spans="1:19" x14ac:dyDescent="0.3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>N22*O22</f>
        <v>2504</v>
      </c>
      <c r="S22" s="2">
        <f>N22*P22</f>
        <v>4590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>N23*O23</f>
        <v>295</v>
      </c>
      <c r="S23" s="2">
        <f>N23*P23</f>
        <v>540</v>
      </c>
    </row>
    <row r="24" spans="1:19" x14ac:dyDescent="0.3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>N24*O24</f>
        <v>3796</v>
      </c>
      <c r="S24" s="2">
        <f>N24*P24</f>
        <v>6750</v>
      </c>
    </row>
    <row r="25" spans="1:19" x14ac:dyDescent="0.3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>N25*O25</f>
        <v>1266</v>
      </c>
      <c r="S25" s="2">
        <f>N25*P25</f>
        <v>2320</v>
      </c>
    </row>
    <row r="26" spans="1:19" x14ac:dyDescent="0.3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>N26*O26</f>
        <v>2504</v>
      </c>
      <c r="S26" s="2">
        <f>N26*P26</f>
        <v>4590</v>
      </c>
    </row>
    <row r="27" spans="1:19" x14ac:dyDescent="0.3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>N27*O27</f>
        <v>2504</v>
      </c>
      <c r="S27" s="2">
        <f>N27*P27</f>
        <v>4590</v>
      </c>
    </row>
    <row r="28" spans="1:19" x14ac:dyDescent="0.3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>N28*O28</f>
        <v>1252</v>
      </c>
      <c r="S28" s="2">
        <f>N28*P28</f>
        <v>2295</v>
      </c>
    </row>
    <row r="29" spans="1:19" x14ac:dyDescent="0.3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>N29*O29</f>
        <v>295</v>
      </c>
      <c r="S29" s="2">
        <f>N29*P29</f>
        <v>540</v>
      </c>
    </row>
    <row r="30" spans="1:19" x14ac:dyDescent="0.3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>N30*O30</f>
        <v>1912</v>
      </c>
      <c r="S30" s="2">
        <f>N30*P30</f>
        <v>3400</v>
      </c>
    </row>
    <row r="31" spans="1:19" x14ac:dyDescent="0.3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>N31*O31</f>
        <v>1252</v>
      </c>
      <c r="S31" s="2">
        <f>N31*P31</f>
        <v>2295</v>
      </c>
    </row>
    <row r="32" spans="1:19" x14ac:dyDescent="0.3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>N32*O32</f>
        <v>3756</v>
      </c>
      <c r="S32" s="2">
        <f>N32*P32</f>
        <v>6885</v>
      </c>
    </row>
    <row r="33" spans="1:19" x14ac:dyDescent="0.3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>N33*O33</f>
        <v>840</v>
      </c>
      <c r="S33" s="2">
        <f>N33*P33</f>
        <v>1538</v>
      </c>
    </row>
    <row r="34" spans="1:19" x14ac:dyDescent="0.3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>N34*O34</f>
        <v>1252</v>
      </c>
      <c r="S34" s="2">
        <f>N34*P34</f>
        <v>2295</v>
      </c>
    </row>
    <row r="35" spans="1:19" x14ac:dyDescent="0.3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>N35*O35</f>
        <v>420</v>
      </c>
      <c r="S35" s="2">
        <f>N35*P35</f>
        <v>769</v>
      </c>
    </row>
    <row r="36" spans="1:19" x14ac:dyDescent="0.3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>N36*O36</f>
        <v>1266</v>
      </c>
      <c r="S36" s="2">
        <f>N36*P36</f>
        <v>2320</v>
      </c>
    </row>
    <row r="37" spans="1:19" x14ac:dyDescent="0.3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>N37*O37</f>
        <v>5064</v>
      </c>
      <c r="S37" s="2">
        <f>N37*P37</f>
        <v>9280</v>
      </c>
    </row>
    <row r="38" spans="1:19" x14ac:dyDescent="0.3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>N38*O38</f>
        <v>1680</v>
      </c>
      <c r="S38" s="2">
        <f>N38*P38</f>
        <v>3076</v>
      </c>
    </row>
    <row r="39" spans="1:19" x14ac:dyDescent="0.3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>N39*O39</f>
        <v>2504</v>
      </c>
      <c r="S39" s="2">
        <f>N39*P39</f>
        <v>4590</v>
      </c>
    </row>
    <row r="40" spans="1:19" x14ac:dyDescent="0.3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>N40*O40</f>
        <v>1266</v>
      </c>
      <c r="S40" s="2">
        <f>N40*P40</f>
        <v>2320</v>
      </c>
    </row>
    <row r="41" spans="1:19" x14ac:dyDescent="0.3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>N41*O41</f>
        <v>1266</v>
      </c>
      <c r="S41" s="2">
        <f>N41*P41</f>
        <v>2320</v>
      </c>
    </row>
    <row r="42" spans="1:19" x14ac:dyDescent="0.3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>N42*O42</f>
        <v>3798</v>
      </c>
      <c r="S42" s="2">
        <f>N42*P42</f>
        <v>6960</v>
      </c>
    </row>
    <row r="43" spans="1:19" x14ac:dyDescent="0.3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>N43*O43</f>
        <v>308</v>
      </c>
      <c r="S43" s="2">
        <f>N43*P43</f>
        <v>565</v>
      </c>
    </row>
    <row r="44" spans="1:19" x14ac:dyDescent="0.3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>N44*O44</f>
        <v>1252</v>
      </c>
      <c r="S44" s="2">
        <f>N44*P44</f>
        <v>2295</v>
      </c>
    </row>
    <row r="45" spans="1:19" x14ac:dyDescent="0.3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>N45*O45</f>
        <v>1252</v>
      </c>
      <c r="S45" s="2">
        <f>N45*P45</f>
        <v>2295</v>
      </c>
    </row>
    <row r="46" spans="1:19" x14ac:dyDescent="0.3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>N46*O46</f>
        <v>2532</v>
      </c>
      <c r="S46" s="2">
        <f>N46*P46</f>
        <v>4640</v>
      </c>
    </row>
    <row r="47" spans="1:19" x14ac:dyDescent="0.3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>N47*O47</f>
        <v>1252</v>
      </c>
      <c r="S47" s="2">
        <f>N47*P47</f>
        <v>2295</v>
      </c>
    </row>
    <row r="48" spans="1:19" x14ac:dyDescent="0.3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>N48*O48</f>
        <v>420</v>
      </c>
      <c r="S48" s="2">
        <f>N48*P48</f>
        <v>769</v>
      </c>
    </row>
    <row r="49" spans="1:19" x14ac:dyDescent="0.3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>N49*O49</f>
        <v>1266</v>
      </c>
      <c r="S49" s="2">
        <f>N49*P49</f>
        <v>2320</v>
      </c>
    </row>
    <row r="50" spans="1:19" x14ac:dyDescent="0.3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>N50*O50</f>
        <v>2504</v>
      </c>
      <c r="S50" s="2">
        <f>N50*P50</f>
        <v>4590</v>
      </c>
    </row>
    <row r="51" spans="1:19" x14ac:dyDescent="0.3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>N51*O51</f>
        <v>2504</v>
      </c>
      <c r="S51" s="2">
        <f>N51*P51</f>
        <v>4590</v>
      </c>
    </row>
    <row r="52" spans="1:19" x14ac:dyDescent="0.3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>N52*O52</f>
        <v>1266</v>
      </c>
      <c r="S52" s="2">
        <f>N52*P52</f>
        <v>2320</v>
      </c>
    </row>
    <row r="53" spans="1:19" x14ac:dyDescent="0.3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>N53*O53</f>
        <v>2532</v>
      </c>
      <c r="S53" s="2">
        <f>N53*P53</f>
        <v>4640</v>
      </c>
    </row>
    <row r="54" spans="1:19" x14ac:dyDescent="0.3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>N54*O54</f>
        <v>420</v>
      </c>
      <c r="S54" s="2">
        <f>N54*P54</f>
        <v>769</v>
      </c>
    </row>
    <row r="55" spans="1:19" x14ac:dyDescent="0.3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>N55*O55</f>
        <v>1266</v>
      </c>
      <c r="S55" s="2">
        <f>N55*P55</f>
        <v>2320</v>
      </c>
    </row>
    <row r="56" spans="1:19" x14ac:dyDescent="0.3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>N56*O56</f>
        <v>1232</v>
      </c>
      <c r="S56" s="2">
        <f>N56*P56</f>
        <v>2260</v>
      </c>
    </row>
    <row r="57" spans="1:19" x14ac:dyDescent="0.3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>N57*O57</f>
        <v>5064</v>
      </c>
      <c r="S57" s="2">
        <f>N57*P57</f>
        <v>9280</v>
      </c>
    </row>
    <row r="58" spans="1:19" x14ac:dyDescent="0.3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>N58*O58</f>
        <v>3798</v>
      </c>
      <c r="S58" s="2">
        <f>N58*P58</f>
        <v>6960</v>
      </c>
    </row>
    <row r="59" spans="1:19" x14ac:dyDescent="0.3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>N59*O59</f>
        <v>1260</v>
      </c>
      <c r="S59" s="2">
        <f>N59*P59</f>
        <v>2307</v>
      </c>
    </row>
    <row r="60" spans="1:19" x14ac:dyDescent="0.3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>N60*O60</f>
        <v>3756</v>
      </c>
      <c r="S60" s="2">
        <f>N60*P60</f>
        <v>6885</v>
      </c>
    </row>
    <row r="61" spans="1:19" x14ac:dyDescent="0.3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>N61*O61</f>
        <v>1252</v>
      </c>
      <c r="S61" s="2">
        <f>N61*P61</f>
        <v>2295</v>
      </c>
    </row>
    <row r="62" spans="1:19" x14ac:dyDescent="0.3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>N62*O62</f>
        <v>1266</v>
      </c>
      <c r="S62" s="2">
        <f>N62*P62</f>
        <v>2320</v>
      </c>
    </row>
    <row r="63" spans="1:19" x14ac:dyDescent="0.3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>N63*O63</f>
        <v>5064</v>
      </c>
      <c r="S63" s="2">
        <f>N63*P63</f>
        <v>9280</v>
      </c>
    </row>
    <row r="64" spans="1:19" x14ac:dyDescent="0.3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>N64*O64</f>
        <v>1180</v>
      </c>
      <c r="S64" s="2">
        <f>N64*P64</f>
        <v>2160</v>
      </c>
    </row>
    <row r="65" spans="1:19" x14ac:dyDescent="0.3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>N65*O65</f>
        <v>5008</v>
      </c>
      <c r="S65" s="2">
        <f>N65*P65</f>
        <v>9180</v>
      </c>
    </row>
    <row r="66" spans="1:19" x14ac:dyDescent="0.3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>N66*O66</f>
        <v>7592</v>
      </c>
      <c r="S66" s="2">
        <f>N66*P66</f>
        <v>13500</v>
      </c>
    </row>
    <row r="67" spans="1:19" x14ac:dyDescent="0.3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>N67*O67</f>
        <v>5008</v>
      </c>
      <c r="S67" s="2">
        <f>N67*P67</f>
        <v>9180</v>
      </c>
    </row>
    <row r="68" spans="1:19" x14ac:dyDescent="0.3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>N68*O68</f>
        <v>5008</v>
      </c>
      <c r="S68" s="2">
        <f>N68*P68</f>
        <v>9180</v>
      </c>
    </row>
    <row r="69" spans="1:19" x14ac:dyDescent="0.3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>N69*O69</f>
        <v>5008</v>
      </c>
      <c r="S69" s="2">
        <f>N69*P69</f>
        <v>9180</v>
      </c>
    </row>
    <row r="70" spans="1:19" x14ac:dyDescent="0.3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>N70*O70</f>
        <v>590</v>
      </c>
      <c r="S70" s="2">
        <f>N70*P70</f>
        <v>1080</v>
      </c>
    </row>
    <row r="71" spans="1:19" x14ac:dyDescent="0.3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>N71*O71</f>
        <v>2504</v>
      </c>
      <c r="S71" s="2">
        <f>N71*P71</f>
        <v>4590</v>
      </c>
    </row>
    <row r="72" spans="1:19" x14ac:dyDescent="0.3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11</v>
      </c>
      <c r="O72" s="2">
        <v>1266</v>
      </c>
      <c r="P72" s="2">
        <v>2320</v>
      </c>
      <c r="Q72" s="2">
        <v>1054</v>
      </c>
      <c r="R72" s="2">
        <f>N72*O72</f>
        <v>13926</v>
      </c>
      <c r="S72" s="2">
        <f>N72*P72</f>
        <v>25520</v>
      </c>
    </row>
    <row r="73" spans="1:19" x14ac:dyDescent="0.3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>N73*O73</f>
        <v>7592</v>
      </c>
      <c r="S73" s="2">
        <f>N73*P73</f>
        <v>13500</v>
      </c>
    </row>
    <row r="74" spans="1:19" x14ac:dyDescent="0.3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>N74*O74</f>
        <v>5008</v>
      </c>
      <c r="S74" s="2">
        <f>N74*P74</f>
        <v>9180</v>
      </c>
    </row>
    <row r="75" spans="1:19" x14ac:dyDescent="0.3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>N75*O75</f>
        <v>885</v>
      </c>
      <c r="S75" s="2">
        <f>N75*P75</f>
        <v>1620</v>
      </c>
    </row>
    <row r="76" spans="1:19" x14ac:dyDescent="0.3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>N76*O76</f>
        <v>1266</v>
      </c>
      <c r="S76" s="2">
        <f>N76*P76</f>
        <v>2320</v>
      </c>
    </row>
    <row r="77" spans="1:19" x14ac:dyDescent="0.3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>N77*O77</f>
        <v>1266</v>
      </c>
      <c r="S77" s="2">
        <f>N77*P77</f>
        <v>2320</v>
      </c>
    </row>
    <row r="78" spans="1:19" x14ac:dyDescent="0.3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>N78*O78</f>
        <v>3798</v>
      </c>
      <c r="S78" s="2">
        <f>N78*P78</f>
        <v>6960</v>
      </c>
    </row>
    <row r="79" spans="1:19" x14ac:dyDescent="0.3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>N79*O79</f>
        <v>840</v>
      </c>
      <c r="S79" s="2">
        <f>N79*P79</f>
        <v>1538</v>
      </c>
    </row>
    <row r="80" spans="1:19" x14ac:dyDescent="0.3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>N80*O80</f>
        <v>3798</v>
      </c>
      <c r="S80" s="2">
        <f>N80*P80</f>
        <v>6960</v>
      </c>
    </row>
    <row r="81" spans="1:19" x14ac:dyDescent="0.3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>N81*O81</f>
        <v>3756</v>
      </c>
      <c r="S81" s="2">
        <f>N81*P81</f>
        <v>6885</v>
      </c>
    </row>
    <row r="82" spans="1:19" x14ac:dyDescent="0.3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>N82*O82</f>
        <v>308</v>
      </c>
      <c r="S82" s="2">
        <f>N82*P82</f>
        <v>565</v>
      </c>
    </row>
    <row r="83" spans="1:19" x14ac:dyDescent="0.3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>N83*O83</f>
        <v>1252</v>
      </c>
      <c r="S83" s="2">
        <f>N83*P83</f>
        <v>2295</v>
      </c>
    </row>
    <row r="84" spans="1:19" x14ac:dyDescent="0.3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>N84*O84</f>
        <v>1252</v>
      </c>
      <c r="S84" s="2">
        <f>N84*P84</f>
        <v>2295</v>
      </c>
    </row>
    <row r="85" spans="1:19" x14ac:dyDescent="0.3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>N85*O85</f>
        <v>1266</v>
      </c>
      <c r="S85" s="2">
        <f>N85*P85</f>
        <v>2320</v>
      </c>
    </row>
    <row r="86" spans="1:19" x14ac:dyDescent="0.3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>N86*O86</f>
        <v>1266</v>
      </c>
      <c r="S86" s="2">
        <f>N86*P86</f>
        <v>2320</v>
      </c>
    </row>
    <row r="87" spans="1:19" x14ac:dyDescent="0.3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>N87*O87</f>
        <v>1252</v>
      </c>
      <c r="S87" s="2">
        <f>N87*P87</f>
        <v>2295</v>
      </c>
    </row>
    <row r="88" spans="1:19" x14ac:dyDescent="0.3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>N88*O88</f>
        <v>295</v>
      </c>
      <c r="S88" s="2">
        <f>N88*P88</f>
        <v>540</v>
      </c>
    </row>
    <row r="89" spans="1:19" x14ac:dyDescent="0.3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>N89*O89</f>
        <v>5008</v>
      </c>
      <c r="S89" s="2">
        <f>N89*P89</f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449075-01A6-451D-9F66-A0FA0F4FD7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A2BFF5-7901-4AE1-9EAC-C53400A8AC5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38B93B57-25C3-448B-BDF9-E62880BE52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ladanwaziri002@gmail.com</cp:lastModifiedBy>
  <cp:revision/>
  <dcterms:created xsi:type="dcterms:W3CDTF">2022-11-04T20:14:11Z</dcterms:created>
  <dcterms:modified xsi:type="dcterms:W3CDTF">2025-10-26T20:25:44Z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